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заявки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V13" i="1" l="1"/>
  <c r="V7" i="1"/>
  <c r="V8" i="1"/>
  <c r="V9" i="1"/>
  <c r="T15" i="1"/>
  <c r="V16" i="1"/>
  <c r="V18" i="1"/>
  <c r="V19" i="1"/>
  <c r="T20" i="1"/>
  <c r="V20" i="1"/>
  <c r="V21" i="1"/>
  <c r="V22" i="1"/>
  <c r="V23" i="1"/>
  <c r="V29" i="1"/>
  <c r="V28" i="1"/>
  <c r="T28" i="1"/>
  <c r="V5" i="1"/>
  <c r="S4" i="1"/>
  <c r="T4" i="1"/>
  <c r="U4" i="1"/>
  <c r="V4" i="1"/>
  <c r="W4" i="1"/>
  <c r="S5" i="1"/>
  <c r="T5" i="1"/>
  <c r="U5" i="1"/>
  <c r="W5" i="1"/>
  <c r="S6" i="1"/>
  <c r="T6" i="1"/>
  <c r="U6" i="1"/>
  <c r="V6" i="1"/>
  <c r="W6" i="1"/>
  <c r="S7" i="1"/>
  <c r="T7" i="1"/>
  <c r="U7" i="1"/>
  <c r="W7" i="1"/>
  <c r="W8" i="1"/>
  <c r="S9" i="1"/>
  <c r="T9" i="1"/>
  <c r="U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W13" i="1"/>
  <c r="S14" i="1"/>
  <c r="T14" i="1"/>
  <c r="U14" i="1"/>
  <c r="V14" i="1"/>
  <c r="W14" i="1"/>
  <c r="S15" i="1"/>
  <c r="U15" i="1"/>
  <c r="V15" i="1"/>
  <c r="W15" i="1"/>
  <c r="S16" i="1"/>
  <c r="T16" i="1"/>
  <c r="U16" i="1"/>
  <c r="W16" i="1"/>
  <c r="S17" i="1"/>
  <c r="T17" i="1"/>
  <c r="U17" i="1"/>
  <c r="V17" i="1"/>
  <c r="W17" i="1"/>
  <c r="S18" i="1"/>
  <c r="T18" i="1"/>
  <c r="U18" i="1"/>
  <c r="W18" i="1"/>
  <c r="S19" i="1"/>
  <c r="T19" i="1"/>
  <c r="U19" i="1"/>
  <c r="W19" i="1"/>
  <c r="S20" i="1"/>
  <c r="U20" i="1"/>
  <c r="W20" i="1"/>
  <c r="S21" i="1"/>
  <c r="T21" i="1"/>
  <c r="U21" i="1"/>
  <c r="W21" i="1"/>
  <c r="S22" i="1"/>
  <c r="T22" i="1"/>
  <c r="U22" i="1"/>
  <c r="W22" i="1"/>
  <c r="S23" i="1"/>
  <c r="T23" i="1"/>
  <c r="U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U28" i="1"/>
  <c r="W28" i="1"/>
  <c r="S29" i="1"/>
  <c r="T29" i="1"/>
  <c r="U29" i="1"/>
  <c r="W29" i="1"/>
  <c r="T3" i="1"/>
  <c r="U3" i="1"/>
  <c r="V3" i="1"/>
  <c r="W3" i="1"/>
  <c r="S3" i="1"/>
</calcChain>
</file>

<file path=xl/sharedStrings.xml><?xml version="1.0" encoding="utf-8"?>
<sst xmlns="http://schemas.openxmlformats.org/spreadsheetml/2006/main" count="398" uniqueCount="267">
  <si>
    <t>Порядковый номер</t>
  </si>
  <si>
    <t>Институт/академия</t>
  </si>
  <si>
    <t>Носитель проблемы</t>
  </si>
  <si>
    <t>Цель</t>
  </si>
  <si>
    <t>Барьер</t>
  </si>
  <si>
    <t>Существующие решения</t>
  </si>
  <si>
    <t>Рекомендуемые инструменты</t>
  </si>
  <si>
    <t>Эксперты</t>
  </si>
  <si>
    <t>Дополнительные материалы</t>
  </si>
  <si>
    <t>Название проекта</t>
  </si>
  <si>
    <t>ИМТК</t>
  </si>
  <si>
    <t>ООО "Черкизово"</t>
  </si>
  <si>
    <t>хочет автоматизировать процесс сбора и доставки яйца от птичников к центральному складу, чтобы исключить зависимость от человеческого фактора и снизить операционные затраты</t>
  </si>
  <si>
    <t>но не может этого сделать, так как текущий процесс предполагает участие водителя в погрузочно-разгрузочных работах (опускает пандус, управляет тележкой с яйцом), что делает невозможным простую замену автомобиля на беспилотное решение без дополнительной механизации</t>
  </si>
  <si>
    <t>Имеющиеся решения (использование беспилотных платформ без механизации, готовые конвейерные решения, полная механизация с заменой водителя на робота-манипулятора) не помогают, потому что они либо не решают задачу физической погрузки, либо требуют капитальных вложений и перестройки инфраструктуры, что экономически нецелесообразно</t>
  </si>
  <si>
    <t>Внутризаводская логистика на птицеводческих предприятиях включает транспортировку яйца по закрытой территории без выезда на дороги общего пользования. Персонал передвигается пешком или на велосипедах, птичники стационарны.</t>
  </si>
  <si>
    <t>Птицелогистика</t>
  </si>
  <si>
    <t>хочет оптимизировать затраты на доставку персонала и планирование маршрутов, чтобы повысить эффективность использования арендованного транспорта и улучшить транспортную доступность для сотрудников</t>
  </si>
  <si>
    <t>но не может этого сделать, так как отсутствует система подсчёта пассажиров в рейсе, что делает невозможным определение фактической загрузки арендованного автобуса и принятие обоснованных решений по оптимизации маршрутов</t>
  </si>
  <si>
    <t>Существующие подходы (установка камер или турникетов, учёт по точкам разгрузки, отслеживание по телефонам сотрудников) не помогают, потому что они значительно удорожают услугу, требуют организации выделенных зон или сталкиваются с вопросами приватности и сложностями технической интеграции</t>
  </si>
  <si>
    <t>Производственные фабрики расположены в сельской местности, что требует организации доставки сотрудников. Компания арендует автобусы у сторонних перевозчиков, которые следуют по сборным маршрутам. Потребность — порядка 100 стажировок в год, но конверсия в трудоустройство низкая из-за транспортной доступности.</t>
  </si>
  <si>
    <t>Сторонние перевозчики, сотрудники (стажеры и постоянный персонал), HR-департамент</t>
  </si>
  <si>
    <t xml:space="preserve">Автобус без потерь </t>
  </si>
  <si>
    <t>Антон Сергеевич  Аврамец, советник генерального секретаря КСТП 
Anton Avramets
a.avramets@icctt.com</t>
  </si>
  <si>
    <t>Хочет создать алгоритм  для автоматизированного сбора, фильтрации и структурирования информации из открытых источников (зарубежных и российских СМИ, отраслевых порталов, пресс-релизов) о строительстве и модернизации инфраструктурных объектов, чтобы своевременно выявлять новые логистические возможности и формировать ежедневную/еженедельную выжимку для членов ассоциации.</t>
  </si>
  <si>
    <t>Но не может этого сделать, так как обладает ограниченным штатом и бюджетом, а также не имеет технических средств и методологии для автоматизированного парсинга, перевода и верификации разрозненных иностранных (в первую очередь) и российских информационных потоков.</t>
  </si>
  <si>
    <t>На данный момент используется ручной мониторинг новостных агентств и личная коммуникация сотрудников с внешним миром. Эти методы не подходят, так как требуют колоссальных временных затрат, не гарантируют полноты охвата (многое упускается), не позволяют работать на опережение и не могут быть масштабированы на все страны-участницы коридора «Север-Юг» и Индию.</t>
  </si>
  <si>
    <t>Инфра-радар</t>
  </si>
  <si>
    <t>Хочет разработать концепцию и интерактивный прототип карты инфраструктурного развития (на примере МТК «Север-Юг» и Индии) с функцией прогнозирования инвестиционных ниш, чтобы наглядно демонстрировать членам ассоциации точки роста (например, визуализация строящейся ж/д ветки и автоматический расчет/подсветка необходимости строительства логистического терминала в узловой точке), повышая тем самым товарооборот и инвестиционную активность.</t>
  </si>
  <si>
    <t>Но не может этого сделать, так как отсутствует опыт создания подобных геоинформационных и аналитических продуктов, не хватает технических ресурсов для визуализации сложных логистических цепочек и перевода сырых данных о стройках в понятные бизнес-инсайты (прогнозы) для инвесторов</t>
  </si>
  <si>
    <t>Используются текстовые отчеты, презентации и устные доклады на основе ручного сбора данных. Они не подходят, так как не дают целостной физической картины, не позволяют наглядно оценить синергию проектов (как увеличение мощностей терминала в Тегеране удешевляет и ускоряет перевозки из России) и не являются удобным инструментом для быстрой презентации идей членам ассоциации</t>
  </si>
  <si>
    <t>Инфра-карта</t>
  </si>
  <si>
    <t/>
  </si>
  <si>
    <t>Институт Международных транспортных коммуникаций (ИМТК) РУТ (МИИТ)</t>
  </si>
  <si>
    <t>Иванова Мария Викторовна, ivanova.mv@rut-miit.ru</t>
  </si>
  <si>
    <t>Ответственный за взаимодействие с партнерами ИМТК и руководство института</t>
  </si>
  <si>
    <t>хочет создать централизованный, верифицированный ресурс (платформу/сообщество), который содержит исключительно актуальные вакансии от отраслевых партнеров с отображением их статусов, а также предоставляет студентам и выпускникам необходимые инструменты для эффективного трудоустройства (цифровое портфолио, верифицированные отзывы преподавателей о сильных качествах и достижениях)</t>
  </si>
  <si>
    <t>но не может, так как: 1) рассылка через старост неэффективна, не охватывает выпускников и не дает обратной связи об актуальности; 2) взаимодействие с HR-отделами часто буксует из-за отсутствия простого канала; 3) отсутствует централизованный доверенный ресурс для обмена вакансиями (в отличие от сайтов с фейковыми предложениями); 4) нет механизма интеграции профессиональных рекомендаций от преподавателей о компетенциях студентов в процесс их найма.</t>
  </si>
  <si>
    <t>1) Точечные договоренности с отдельными компаниями , которые не масштабируются; 2) Стихийная рассылка вакансий через старост, игнорирующая выпускников; 3) Использование общих агрегаторов поиска работы, которые не отражают специфику подготовки ИМТК и не обеспечивают доверия.</t>
  </si>
  <si>
    <t>HR-директора и руководители направлений транспортных компаний, студенты и выпускники ИМТК, преподаватели, руководство ИМТК.</t>
  </si>
  <si>
    <t>Список текущих компаний-партнеров, примеры успешных кейсов найма , текущие шаблоны рассылок вакансий, примеры запросов от HR.</t>
  </si>
  <si>
    <t>Кадровый мост ИМТК</t>
  </si>
  <si>
    <t>ООО «Мэйджор Карго Сервис»</t>
  </si>
  <si>
    <t xml:space="preserve">Анна Рождественна, руководитель Центра электронного декларированияr ogdestvina@mjr.ru +7 (903) 559-26-82; Александра, заместитель руководителя по таможенному оформлению; Александра Борга, заместитель начальника центра таможенного декларирования.t +7 (916) 418-72-80
borga@mjr.ru | </t>
  </si>
  <si>
    <t>Ручной сбор данных из разных источников (визуальный анализ PDF, Excel). Тестирование ИИ-инструментов (например, DeepSeek) с ручной настройкой промптов под каждого клиента — решение не масштабируемо, требует значительных временных затрат на обучение системы под каждый пакет документов</t>
  </si>
  <si>
    <t xml:space="preserve"> Клиенты компании (получатели услуги таможенного оформления); Руководство компании (заинтересовано в сокращении времени оформления и повышении лояльности клиентов)</t>
  </si>
  <si>
    <t>Универсальный извлекатель</t>
  </si>
  <si>
    <t>Анна Рождественна, руководитель Центра электронного декларированияr ogdestvina@mjr.ru +7 (903) 559-26-82; Александра, заместитель руководителя по таможенному оформлению; Александра Борга, заместитель начальника центра таможенного декларирования.t +7 (916) 418-72-80</t>
  </si>
  <si>
    <t>Руководитель Центра электронного декларирования</t>
  </si>
  <si>
    <t>Специалисты по таможенному оформлению (основные пользователи решения); Клиенты компании (косвенно — из-за увеличения времени оформления)</t>
  </si>
  <si>
    <t>Декларация без границ</t>
  </si>
  <si>
    <t xml:space="preserve"> Все специалисты Центра электронного декларирования, работающие с сегментом запасных частей; Руководство компании (заинтересовано в повышении эффективности работы специалистов)</t>
  </si>
  <si>
    <t>Сайт компании: https://mjr.ru/ ; Выгрузка массива артикулов из программы «Артикул» (обезличенная); Шаблон структуры единой базы (столбцы: артикул, наименование, код ТН ВЭД, разрешительная документация, примечания)</t>
  </si>
  <si>
    <t>Артикул-хранилище</t>
  </si>
  <si>
    <t>ООО "АМВА"</t>
  </si>
  <si>
    <t>Генеральный директор Булавацкий Максим Сергеевич
ceo@АМВА-group.ru tel:+79770400766</t>
  </si>
  <si>
    <t xml:space="preserve">Обеспечить бесперебойную, юридически корректную и прозрачную грузоперевозку при переходе на обязательный электронный документооборот (ЭДО) с 1 марта/апреля 2025 г., обеспечить работу по правилам ЭТРН с 1 сентября 2026 включая взаимодействие с российскими и иностранными контрагентами. </t>
  </si>
  <si>
    <t>— Отсутствие прозрачной правоприменительной, нормативной базы по применению ЭТРН вРоссийских перевозках; — Иностранные партнёры (Китай, Казахстан, Монголия) не используют российские системы ЭДО (Диадок, Астрал и др.); — Неясность оформления документов на границе и при таможенной очистке; — Психологическое сопротивление сотрудников и клиентов к новому формату; — Отсутствие готовых инструкций и регламентов для пользователей внутри компании и у клиентов.</t>
  </si>
  <si>
    <t>Компания использует ЭДО (Диадок, Астрал) во внутреннем документообороте; ведётся параллельное изучение требований; планируется создание внутренней инструкции, но нет ресурсов и времени на её качественную разработку. Но, из-за постоянных измененией в применениие и решении вопросов ЭТРН пока не реализована в ООО АМВА работе по ЭТРН.</t>
  </si>
  <si>
    <t>ООО "АМВА" — компания, специализирующаяся на международных перевозках, включая негабаритные и тяжеловесные грузы. Работает «в белом»: вся документация оформляется легально, без серых схем. Новый закон об ЭДО создаёт риск простоев на границах, штрафов, задержек оплаты и потери клиентов, если не будет выстроена чёткая процедура работы с документами. Особенно критичен переходный период, когда одни участники цепи работают в ЭДО, а другие — нет.</t>
  </si>
  <si>
    <t>Руководитель компании, бухгалтерия, таможенные брокеры, клиенты-экспедиторы и грузоотправители, российские и иностранные перевозчики, таможенные органы (ФТС), налоговые органы (ФНС), партнёрские таможенные представители</t>
  </si>
  <si>
    <t>Рослог+ЭТРН</t>
  </si>
  <si>
    <t>Организовать доставку неразборного тяжеловесного груза (129,9 тонн, класс ADR из-за масла) из Маньчжурии (Китай) в Красноярск до конца февраля 2025 г., минуя ЖД (очередь до августа 2026 г.).</t>
  </si>
  <si>
    <t>— Груз превышает допустимые нормы по весу и габаритам для большинства дорог и мостов РФ; — Невозможно разобрать (в отличие от башенных кранов); — Требуется согласование маршрута с ГИБДД, администрациями регионов, МЧС; — Необходим подбор специализированного 16-осного трала; — Высокие риски: ограничения по высоте (провода, мосты), ширине (повороты), скорости; — Требуется единый караван для доставки всего комплекта оборудования одновременно.</t>
  </si>
  <si>
    <t>ЖД-перевозка возможна, автомобильная перевозка теоретически возможна, но маршрут не спланирован; нет единого алгоритма оценки проходимости маршрута для таких грузов.</t>
  </si>
  <si>
    <t>Груз предназначен для гидроэлектростанции — госконтракт, сроки критичны. Задержка недопустима. Компания уже сталкивалась с подобными задачами, но каждый случай уникален. Требуется комплексный подход: оценка инфраструктуры, подбор техники, согласование, расчёт времени и стоимости.</t>
  </si>
  <si>
    <t>Руководство ООО "АМВА", заказчик — компания «Русал», производитель оборудования, региональные власти по маршруту, ГИБДД, Росавтодор, страховые компании</t>
  </si>
  <si>
    <t>— Карта автодорог РФ с данными о грузоподъёмности мостов; — Нормативы перевозки тяжеловесов и негабаритов; — Информация о требованиях к маршрутам сверхтяжеловесов</t>
  </si>
  <si>
    <t>130 тонн проект для тяжеловестных грузов из Китая</t>
  </si>
  <si>
    <t>Разработать универсальную инструкцию и сопроводительный пакет документов для безопасной, юридически корректной и эффективной перегонки самоходной коммерческой техники (тягачи, самосвалы) из Китая в Россию с учётом требований НАМИ, особенностей обкатки и международного документооборота.</t>
  </si>
  <si>
    <t>У компании есть базовые инструкции для предыдущих моделей, но они требуют адаптации под каждую новую технику; используется фотоотчёт и чек-лист, но их формат не унифицирован и не привязан к требованиям НАМИ; водители проходят инструктаж, но контроль исполнения затруднён без GPS-мониторинга (дорого для массового применения).</t>
  </si>
  <si>
    <t>ООО "АМВА" организует регулярные поставки новой китайской коммерческой техники, которая сразу после прибытия в РФ должна быть готова к эксплуатации.</t>
  </si>
  <si>
    <t>Логисты ООО "АМВА", таможенные брокеры, заказчики импорта коммерческой техники, НАМИ, производители техники, страховые компании, ГИБДД, казахстанские/монгольские пограничные службы</t>
  </si>
  <si>
    <t>Универсальная инструкция по перегонке самоходной техники из Китая</t>
  </si>
  <si>
    <t>Разработать цифровой инструмент для экспедиторов, позволяющий автоматически рассчитывать ориентировочную себестоимость автомобильной перевозки (для подрядчика) и строить оптимальный маршрут с учётом ключевых точек (заправки, стоянки, рамки, КПП, места отдыха)</t>
  </si>
  <si>
    <t>Текущий процесс — ручной запрос цены у подрядчиков через WhatsApp/email — занимает время, снижает конкурентоспособность («первый назвал цену — с тем едут»). Нет внутреннего инструмента для быстрой оценки стоимости и маршрута</t>
  </si>
  <si>
    <t>Аналогичные системы (например, СберБизнес) ориентированы на перевозчиков, а не на экспедиторов. У них более сложная экономическая модель (включает амортизацию, зарплату водителя и т.д.), что избыточно для нужд экспедитора</t>
  </si>
  <si>
    <t>Подрядчики-автоперевозчики, клиенты, служба безопасности</t>
  </si>
  <si>
    <t>Экспедитор в один клик</t>
  </si>
  <si>
    <t xml:space="preserve"> </t>
  </si>
  <si>
    <t>ООО «Мэйджор Карго Сервис» (Major Cargo)</t>
  </si>
  <si>
    <t>Хочет обеспечить быстрое и безошибочное выстраивание мультимодальных логистических маршрутов новыми сотрудниками, компенсируя отсутствие у них фундаментального географического кругозора и пространственного мышления.</t>
  </si>
  <si>
    <t>Но не может этого сделать, так как современные молодые сотрудники («поколение черной коробочки», привыкшее к сервисам доставки) не обладают интуитивным пониманием физической географии и транспортной инфраструктуры. Они не могут «достроить» в голове путь от точки на карте до реального маршрута следования груза, что приводит к абсурдным запросам (например, требование автотранспорта туда, где объективно нужны морские перевозки или ЖД).</t>
  </si>
  <si>
    <t>Обучение проходит стихийно: руководитель дает установку «интернет в помощь», просит поставить точку на карте и «интуитивно предположить» маршрут, опираясь на метод аналогий. Однако эти методы не работают, так как у новичков отсутствует базовая экспертиза для проведения аналогий, что ведет к генерации некорректных запросов, потере времени и перегрузке старших инженеров, вынужденных фильтровать ошибки.</t>
  </si>
  <si>
    <t>Руководство компании, опытные инженеры (наставники), HR-департамент (онбординг), клиенты-грузоотправители.</t>
  </si>
  <si>
    <t>Исторические данные по маршрутам, карта транспортной инфраструктуры РФ, база знаний по видам транспорта.</t>
  </si>
  <si>
    <t>Ментальная карта логиста</t>
  </si>
  <si>
    <t>Хофф</t>
  </si>
  <si>
    <t xml:space="preserve">Отдел ценообразования (менеджер по ценообразованию) </t>
  </si>
  <si>
    <t xml:space="preserve"> хочет получить систематизированное представление о том, чем определяется асимметричность реакции спроса на повышение и снижение цены и в каких пределах она варьируется, с адаптацией выводов к специфике мебельной розницы, чтобы более точно калибровать коэффициенты для ценовых решений, опираясь на вводные параметры, вместо подбора с нуля,</t>
  </si>
  <si>
    <t xml:space="preserve">Имеющееся решение (настройка коэффициентов на основе исторических данных и экспериментов) не помогает, потому что оно не даёт систематизированного понимания природы асимметрии и её границ, а значит, каждый раз требует подбора с нуля вместо калибровки на основе обоснованных параметров. Без систематизированного обзора литературы и адаптации выводов компания не может принимать обоснованные стратегические решения.
</t>
  </si>
  <si>
    <t>будет доотправлено</t>
  </si>
  <si>
    <t>https://hoff.ru/</t>
  </si>
  <si>
    <t>Адаптация эластичности</t>
  </si>
  <si>
    <t>ООО «ФИТ» (Группа Fesco)</t>
  </si>
  <si>
    <t>Афанасьева Мария Дмитриевна, Отдел развития сухопутных перевозок, MAfanaseva@fesco.com</t>
  </si>
  <si>
    <t>Но не может, так как отсутствует полная картина маршрутов и не хватает рук комплексно проанализировать все направления; работа ведется в оперативном режиме «пришел запрос — развиваем», без константы ставок по одним и тем же локациям; нет понимания, какой порт Китая или сухопутный участок дешевле, и по стоимости отдел проигрывает собственному сервису компании через Владивосток (Intermodal).</t>
  </si>
  <si>
    <t>Используются отдельные существующие маршруты (готовые решения есть только из Вьетнама и Таиланда); решения принимаются преимущественно на основе текущей операционной практики и личных компетенций сотрудников; по каждому запросу ведется ручной опрос каждого агента (например, из Лаем-Чабанга со всеми портами Китая) — это не помогает, поскольку занимает много времени, не дает полной картины оптимального маршрута и не позволяет проходить по стоимости.</t>
  </si>
  <si>
    <t>Эксперты отдела; китайские и юго-восточные агенты; внутренний сервис через Владивосток (Intermodal); клиенты; руководство отдела.</t>
  </si>
  <si>
    <t>https://www.fesco.ru/</t>
  </si>
  <si>
    <t>Компас ЮВА</t>
  </si>
  <si>
    <t>Афанасьева Мария Дмитриевна, Отдел развития сухопутных перевозок, MAfanaseva@fesco.com, +7-915-330-30-78</t>
  </si>
  <si>
    <t>В связи с ростом экспорта электромобилей из Вьетнама хочет организовать полностью сухопутную перевозку электромобилей из Вьетнама через Китай в Казахстан через пограничные переходы Пинсян и Хэкоу (железнодорожную либо комбинированную схему авто+ЖД), чтобы выполнить запрос клиента на перевозку без участка моря, снизить риски и сократить транзитный срок с ~50 суток (текущая морская схема) до ~35 суток.</t>
  </si>
  <si>
    <t>Но не может, так как погранпереходы пока не умеют обрабатывать такие перевозки: по Пинсяну есть лишь предварительный результат — таможня не умеет оформлять электромобили, по Хэкоу анализа нет вообще; официального запрета или официального отказа нет, ситуация находится «в подвешенном состоянии»; у отдела не хватает времени и рук довести исследование и найти решение.</t>
  </si>
  <si>
    <t>Перевозки уже осуществляются, но через море — через порт Китая, транзитом через Китай в Казахстан; это не устраивает клиента, так как море опасно для дорогих электроавтомобилей; проводился предварительный анализ требований, однако комплексной оценки перспектив маршрута пока нет.</t>
  </si>
  <si>
    <t>Клиент (экспортер электромобилей); таможенные органы Вьетнама, Китая, Казахстана</t>
  </si>
  <si>
    <t>Сухопутный заряд</t>
  </si>
  <si>
    <t>Хочет систематизировать данные о приеме опасных и специфических грузов (газлифты, жидкости, грузы с батареями) и составить реестр основных международных железнодорожных станций Китая, работающих как минимум на направлении Китай–Россия, с информацией о возможности приема по классам опасности, выявленными ограничениями и ссылками на источники информации, чтобы не проверять каждую станцию индивидуально по каждому запросу.</t>
  </si>
  <si>
    <t>Но не может, так как информация скрыта и непублична; китайский офис компании не смог получить перечень; ручной обзвон всех станций занимает около месяца; информация может меняться, а сказанное по телефону может не подтверждаться; у отдела не хватает рук на такое исследование.</t>
  </si>
  <si>
    <t>Проверка осуществляется точечно по каждому запросу клиента («проходиться по всем станциям и спрашивать у каждой»); запрос в китайский офис о перечне грузов, принимаемых каждой станцией, — информация не получена; это не помогает, поскольку увеличивает сроки проработки перевозок и создает дополнительные операционные риски.</t>
  </si>
  <si>
    <t>Китайский офис Fesco; коллеги отдела; клиенты со специфическими грузами; наставники и эксперты университета.</t>
  </si>
  <si>
    <t>Опасный реестр</t>
  </si>
  <si>
    <t>ООО "КастомСервис" // ООО "КС-ВЭД"</t>
  </si>
  <si>
    <t>Алсу Лемутова, Телефон +79685770454 (телеграм, мобильный), E-mail: laz@cs-ved.ru</t>
  </si>
  <si>
    <t>Сотрудник ООО «КастомСервис» // ООО «КС-ВЭД», отвечающий за проверку контрагентов, сопровождение международных перевозок, таможенное оформление или комплаенс-проверки</t>
  </si>
  <si>
    <t>Руководство компании, юридическая служба, финансовый отдел, сотрудники таможни, клиенты компании, иностранные контрагенты, торгово-промышленные палаты</t>
  </si>
  <si>
    <t>Дополнительная информация у М.Ивановой. По запросу уже на встречах Заказчик готов дать: примеры текущих проверок, перечень стран/юрисдикций, с которыми работает компания, имеющиеся ссылки на инфо-ресурсы, внутренние критерии благонадежности</t>
  </si>
  <si>
    <t>Бенефициар в тени</t>
  </si>
  <si>
    <t>Ф7 Групп</t>
  </si>
  <si>
    <t>Екатерина (руководитель отдела персонала), +7(965)4022164</t>
  </si>
  <si>
    <t xml:space="preserve"> Руководитель отдела персонала Ф7 Групп</t>
  </si>
  <si>
    <t>хочет разработать системную HR-стратегию и архитектуру HR-бренда работодателя (внутреннего и внешнего), чтобы обеспечить приток квалифицированных и редких кадров (например, конструкторов одежды) в управляющий офис и на производства, систематизировать процесс найма и повысить узнаваемость на рынке труда.</t>
  </si>
  <si>
    <t>На данный момент поиск ведется через платные сайты (hh, Авито) и «сарафанное радио». Для внешних вакансий используется бренд одного из региональных юрлиц, что не отражает масштаба группы. Внутренний бренд поддерживается точечно (опросы, корпоративы, доски почета, поздравления, питание), но без единой стратегии и понимания, как транслировать ценности на все направления.</t>
  </si>
  <si>
    <t>Руководство группы компаний, директора производственных площадок (Ульяновск, Ст. Дрожжаное), коммерческий блок, линейные сотрудники.</t>
  </si>
  <si>
    <t>Отдел персонала Ф7 Групп и внутренние сотрудники компании (разношерстная аудитория: от молодежи до специалистов 50+ с разным уровнем образования).</t>
  </si>
  <si>
    <t>хочет внедрить систему регулярных внутренних коммуникаций (ежедневный/еженедельный HR-дайджест) и интерактивного вовлечения сотрудников, чтобы обеспечить прозрачность, связь с управленческой группой, рост лояльности и развитие корпоративной культуры без ручной рутины для HR.</t>
  </si>
  <si>
    <t>но не может этого сделать, так как у HR-специалиста физически не хватает времени на ежедневное ручное ведение канала, составление контент-плана, поиск инфоповодов (юморные праздники, дни рождения) и проведение опросов. Аудитория крайне неоднородна по возрасту и цифровой грамотности, что делает универсальные форматы коммуникации неэффективными (то, что заходит молодежи, не работает для сотрудников 50+, и наоборот).</t>
  </si>
  <si>
    <t>Проводятся разовые корпоративные мероприятия, точечные опросы и поздравления. Есть идея создания Telegram-бота с отложенными сообщениями, но нет регламента его работы, контент-стратегии и понимания, как адаптировать контент и форматы опросов под разные возрастные группы (например, специфические опросы для тех, кому за 50).</t>
  </si>
  <si>
    <t>IT-отдел (для настройки бота), руководители подразделений, все сотрудники компании (от швей до топ-менеджмента).</t>
  </si>
  <si>
    <t>https://mjr.ru/;</t>
  </si>
  <si>
    <t xml:space="preserve"> Сайт компании: https://mjr.ru/&lt;br&gt;• Примеры пакетов документов по разным видам транспорта (авиа, авто, морской)&lt;br&gt;• Информация о специфике требований разных ЦЭДов (будет предоставлена компанией на основе внутренних данных по запросу на встерче )</t>
  </si>
  <si>
    <t xml:space="preserve">— Постановление Правительства РФ №1528 (или аналогичное, регулирующее ЭДО с 2025 г.); — Системы ЭДО: Диадок, Астрал, Контур  </t>
  </si>
  <si>
    <t>Самоходом из Китаяи</t>
  </si>
  <si>
    <t>По запросу  на встречах Заказчик готов предостаивть: описание направлений деятельности (ГОЗ, швейка, пластик, биотех, телемедицина), организационная структура, данные о текущих каналах привлечения.</t>
  </si>
  <si>
    <t>По запросу  на встречах Заказчик готов предостаивть: текущие примеры внутренних опросов, демографический срез сотрудников, план корпоративных событий.</t>
  </si>
  <si>
    <t>ИМТК, ИУЦТ</t>
  </si>
  <si>
    <t xml:space="preserve">ИМТК, ИУЦТ </t>
  </si>
  <si>
    <t xml:space="preserve">Архитектура HR-бренда </t>
  </si>
  <si>
    <t>Голос Ф7</t>
  </si>
  <si>
    <t>Организация-заказчик*</t>
  </si>
  <si>
    <t>ТИП Организация-заказчик*</t>
  </si>
  <si>
    <t>Внешний</t>
  </si>
  <si>
    <t xml:space="preserve">Внутренний </t>
  </si>
  <si>
    <t>Контактные данные заказчика*</t>
  </si>
  <si>
    <t>Уровень проекта**</t>
  </si>
  <si>
    <t xml:space="preserve">Прикладной </t>
  </si>
  <si>
    <t>Контекст проекта*</t>
  </si>
  <si>
    <t>Другие заинтересованные стороны</t>
  </si>
  <si>
    <t>Направление проекта</t>
  </si>
  <si>
    <t>Логистика</t>
  </si>
  <si>
    <t>Цифровизация</t>
  </si>
  <si>
    <t xml:space="preserve">Цифровизация </t>
  </si>
  <si>
    <t xml:space="preserve">Логистика </t>
  </si>
  <si>
    <t>Менеджмент</t>
  </si>
  <si>
    <t xml:space="preserve">Экономика транспорта </t>
  </si>
  <si>
    <t>Международная логистика</t>
  </si>
  <si>
    <t xml:space="preserve">Менеджмент </t>
  </si>
  <si>
    <t xml:space="preserve"> .</t>
  </si>
  <si>
    <t>Хочет автоматизировать процесс извлечения данных из документов клиентов (PDF, Excel) разных форматов для формирования структурированного заполнителя для заполнения декларации, но не может, так как клиенты предоставляют документы в нестандартизированных форматах, а существующие ИИ-решения требуют ручной настройки промптов под каждого клиента и не обладают универсальным алгоритмом распознавания структуры документов</t>
  </si>
  <si>
    <t>но не может, тк  техническая невозможность стандартизировать формат подачи документов всеми клиентами (часть клиентов не может выгружать данные в структурированном виде);Отсутствие универсального алгоритма, способного самостоятельно распознавать логику расположения данных в документах разного формата без ручной настройки под каждого клиента;Трудоёмкость ручной обработки: специалисту приходится вручную извлекать веса из одного документа, наименования из другого, цены из третьего</t>
  </si>
  <si>
    <t>Водитель транспортного средства / Логистический отдел птицеводческого предприятия, производственный персонал, служба биобезопасности</t>
  </si>
  <si>
    <t xml:space="preserve">Начальник отдела автоматизации логистики </t>
  </si>
  <si>
    <t>Генеральный директор</t>
  </si>
  <si>
    <t xml:space="preserve"> Центра электронного декларированияr и заместитель начальника отдела  по таможенному оформлению сегмента запасных частей</t>
  </si>
  <si>
    <t>Начальник отдела внутрироссийских перевозок</t>
  </si>
  <si>
    <t>Начальник отдела развития сухопутных перевозок ООО «ФИТ»</t>
  </si>
  <si>
    <t>АО "РЖД Логистика"</t>
  </si>
  <si>
    <t>Иванов Максим Александрович, Заместитель директора обособленного подразделения АО "РЖД Логистика" в г. Москве, тел.: +7 (495) 988 6868 доб.: 2526, моб.: +7 (915) 326 2070, Email: IvanovMA@rzdlog.ru</t>
  </si>
  <si>
    <t>Отдел продаж (центральный аппарат и филиалы по всей России), в частности блок, занимающийся новой услугой</t>
  </si>
  <si>
    <t>Хочет получить максимально полную из всех возможных источников базу пользователей услуги локомотивной тяги и локомотивных бригад (начиная с  Московской ж.д.), систематизировать и визуализировать её таким образом, чтобы она была удобна для дальнейшего использования (предложения обновлений, дополнений и развития сервиса), с обеспечением необходимой безопасности данных</t>
  </si>
  <si>
    <t>Но не может этого сделать, так как услуга новая, базы в принципе не существует, и не разработан механизм того, как именно эту информацию добывать и верифицировать, а также в каком виде представить и визуализировать, с учетом требований безопасности (в т.ч. защиты персональных данных), а прямые запросы к компаниям могут оставаться без ответа</t>
  </si>
  <si>
    <t>На данный момент эффективные решения отсутствуют, процесс сбора данных не формализован</t>
  </si>
  <si>
    <t>Услуга новая, требуется собрать данные по пользователям. Важно обеспечить безопасность данных (например, парольный доступ к платформе). Инструмент должен быть универсальным, чтобы его можно было применять в разных регионах (пилот в России, потенциально масштабирование на Казахстан). Ожидаемый результат — создание инструмента, позволяющего собирать информацию по регионам, механизмов верификации данных, инструментов визуализации и редактирования базы (добавление, удаление, обновление).</t>
  </si>
  <si>
    <t>IT-подразделения (вопросы безопасности и платформы), региональные филиалы, отделы продаж</t>
  </si>
  <si>
    <t>Умная база</t>
  </si>
  <si>
    <t>AXELOT</t>
  </si>
  <si>
    <t>Владельцы ППЖТ (клиенты), коммерческие маневровые операторы (конкуренты), ремонтные и сервисные компании РЖД, центральная дирекция тяги</t>
  </si>
  <si>
    <t xml:space="preserve">Внешний </t>
  </si>
  <si>
    <t>Репин Андрей Викторович, Заместитель директора департамента, тел.: +7 (912) 310-98-70 АО "РЖД Логистика"</t>
  </si>
  <si>
    <t>Зарук Григорий телеграмм +79858605523</t>
  </si>
  <si>
    <t>Группы для трека: кол-во, курс и эксперимент</t>
  </si>
  <si>
    <t>? (только группы для эксперимента, др Заказчик не берет)</t>
  </si>
  <si>
    <t>Международный
Координационный совет
по трансъевразийским
перевозкам (КСТП)</t>
  </si>
  <si>
    <t>Советник генерального секретаря,(руководит аналитическим блоком)</t>
  </si>
  <si>
    <t>Руководство и аналитический отдел Ассоциации КСТП, члены-участники КСТП</t>
  </si>
  <si>
    <t>Руководство и экспертный отдел Ассоциации КСТП, члены-участники КСТП</t>
  </si>
  <si>
    <t>Антон Сергеевич  Аврамец, советник генерального секретаря КСТП 
Anton Avramets
a.avramets@icctt.com  +7 903 286 79 19 (Max)</t>
  </si>
  <si>
    <t>Руководитель Центра электронного декларирования и аместитель руководитель по таможенному оформлению</t>
  </si>
  <si>
    <t xml:space="preserve">Роман Давиденко, руководитель отдела внутрироссийских перевозок, </t>
  </si>
  <si>
    <t>ДКРС-ВСМ ОАО «РЖД»</t>
  </si>
  <si>
    <t>Екатерина, руководитель отдела персонала, +7(965)4022164</t>
  </si>
  <si>
    <t>Кокуркин Артур Александрович, Ведущий инженер отдела проектных работ +7 929 603 5700</t>
  </si>
  <si>
    <t xml:space="preserve">Учебно-прикладной </t>
  </si>
  <si>
    <t>Хочет разработать и внедрить системную методику (алгоритм, инструменты и рекомендации) адаптации и мотивации молодых сотрудников (поколение зумеров, 23–25 лет) в период их онбординга, чтобы эффективно включать их в производственные процессы, повышать осознанность выполнения задач и сокращать временные затраты наставника на обучение и контроль.</t>
  </si>
  <si>
    <t>Адаптация проводится в ручном режиме силами наставника: устные инструкции, объяснение задач по ходу дела, периодическая проверка ошибок. Отдел кадров занимается только формальным документооборотом и организационными мероприятиями, но не сопровождением новичка. Подход не учитывает индивидуальные ценности сотрудника нового поколения, из-за чего он выполняет задачи механически, не задавая вопросов.</t>
  </si>
  <si>
    <t>Отдел кадров (HR), руководители подразделений, новые молодые сотрудники, коллеги-наставники, которые могут подключаться к обучению в отсутствие основного наставника.</t>
  </si>
  <si>
    <t>Адаптация без уговоров</t>
  </si>
  <si>
    <t>Ведущий инженер отдела проектных работ, являясь наставником нового сотрудника в отделе проектных работ ДКРС-ВСМ</t>
  </si>
  <si>
    <t>По запросу наставкника готов предоставить описание типовых задач для новых сотрудников, примеры успешных и неуспешных кейсов адаптации (обезличенные), информация о системе премирования.</t>
  </si>
  <si>
    <t>По запросу наставкника готов предоставить  описание услуг локомотивной тяги и локомотивных бригад на Московской ж.д. -</t>
  </si>
  <si>
    <t>Роман Давиденко, руководитель отдела внутрироссийских перевозока davidenko@mjr.ru (связь через Иванову М.В. при необходимости +79151294970)</t>
  </si>
  <si>
    <t xml:space="preserve">На рынке присутствуют владельцы собственных подъездных путей (ППЖТ) и коммерческие маневровые тепловозы. У РЖД есть активы (локомотивы, инфраструктура, персонал, ремонтные базы), но на конкретных станциях возникают проблемы: нехватка людей, плохое техническое состояние локомотивов клиентов, простои. </t>
  </si>
  <si>
    <t xml:space="preserve">VIG Trans </t>
  </si>
  <si>
    <t>Но не может, тк навпраление новое и еще  не сформирован механизм конкуренции с существующими частными игроками</t>
  </si>
  <si>
    <t xml:space="preserve">Внутренние обсуждения и зарождающаяся концепция, но отсутствуют детально проработанные, локализованные бизнес-модели для конкретных участков, доказывающие конкурентоспособность. </t>
  </si>
  <si>
    <t xml:space="preserve">Руководитель направления развития бизнеса маневровой работы </t>
  </si>
  <si>
    <t xml:space="preserve">Единый маневровый оператор </t>
  </si>
  <si>
    <t>Хочет разработать варианты (сценарии) развития нового бизнес-направления по оказанию услуг маневровой тяги на конкретных участках сети(на станции Промгипсовая МСк ж.д.) и предложить там более качественную услугу, чтобы в дальнейшем отработать модель для последующего масштабирования</t>
  </si>
  <si>
    <t xml:space="preserve">Твердохлебова Оксана Сергеевна - директор депарамента качества ,tverdohlebova@vigtrans.com  , 7(495)-781-00-35 доб 466 , моб. 89250403144 </t>
  </si>
  <si>
    <t>Хочет системно выявлять в фактических бизнес-процессах компании точки неэффективности и формировать обоснованные инициативы по их улучшению, чтобы выбирать наиболее подходящий способ решения: изменение процесса, автоматизацию в ERP, интеграцию, RPA, BI, ML, AI/LLM или AI-агента.</t>
  </si>
  <si>
    <t>Инициативы по автоматизации формируются по обращениям бизнес-подразделений и результатам ручного обследования процессов. Бизнес-аналитики и эксперты изучают регламенты, интервьюируют пользователей, анализируют отдельные операции и затем выбирают вариант решения. Такой подход полезен, но трудозатратен, зависит от экспертной оценки и не позволяет непрерывно анализировать большой массив фактических данных процессов и автоматически формировать воронку потенциальных инициатив.</t>
  </si>
  <si>
    <t>Владельцы бизнес-процессов, логистические и коммерческие подразделения, финансовый департамент, бизнес-аналитики, IT/ERP-команда, команда BI/Data/AI, руководство компании</t>
  </si>
  <si>
    <t xml:space="preserve">Но не может делать это системно и на основании данных, так как информация о прохождении процессов и действиях пользователей накапливается в ERP и других корпоративных системах преимущественно для операционной работы и отчетности. </t>
  </si>
  <si>
    <t>По запросу от наставника:  проекта студентам может быть предоставлена информация о бизнес-процессах и доступных данных, а также возможность сформировать требования к составу и структуре логов, необходимых для последующего автоматизированного анализа процессов.</t>
  </si>
  <si>
    <t>Интеллектуальный поиск возможностей</t>
  </si>
  <si>
    <t>Быстро оценивать экономическую целесообразность инициатив по автоматизации и внедрению технологий до начала разработки</t>
  </si>
  <si>
    <t>Эффект проектов рассчитывается индивидуально в зависимости от инициативы, что затрудняет единообразное сравнение и приоритизацию проектов</t>
  </si>
  <si>
    <t>Руководители и владельцы бизнес-процессов — как инициаторы проектов; финансовый департамент — для верификации экономического эффекта; IT/ERP, BI/Data/AI — для оценки стоимости и сложности реализации; руководство компании — для приоритизации и принятия решений по запуску инициатив.</t>
  </si>
  <si>
    <t>но не может, тк инициативы сильно отличаются: RPA, BI, ML, AI-агенты, доработки ERP, интеграции. Для них сложно применять единый подход к оценке эффекта. Бизнес может описать проблему, но не всегда может перевести экономию времени, снижение ошибок или повышение скорости процесса в финансовый эффект</t>
  </si>
  <si>
    <t>Калькулятор эффективности цифровых инициатив</t>
  </si>
  <si>
    <t>По запросу наставкника  Заказчик  готов предоставить: описание и примеры реализованных цифровых инициатив компании. Дополнительные данные, необходимые для разработки и тестирования методологии и MVP калькулятора, будут определены совместно с проектной командой и предоставлены в доступном объеме с учетом требований информационной безопасности.</t>
  </si>
  <si>
    <t>Студенты-логисты, клиенты Axelot (компании-пользователи ПО), преподаватели, HR-специалисты, системные аналитики Axelot</t>
  </si>
  <si>
    <t>Живые тренинги через видеоконференции с демонстрацией экрана и возможностью прерывать спикера для уточняющих вопросов. Формат: 40 часов экспертного времени аналитика на один курс, что дорого и не масштабируемо. Попытка оцифровки в формат «10 видео по 4 часа» признается утопической — монотонный рассказ без возможности прерывать не удержит внимание</t>
  </si>
  <si>
    <t>Определить оптимальный формат образовательного контента для обучения программным продуктам Axelot (WMS, TMS), который будет эффективен для разных целевых аудиторий (студенты-зумеры, опытные начальники складов, топ-менеджеры), масштабируем и обеспечит высокую вовлеченность обучающихся</t>
  </si>
  <si>
    <t>Руководитель образовательных программ учебного центра Axelot Евгений, контакты будут предоставлены дополнительно</t>
  </si>
  <si>
    <t>Контент, который не отпускает</t>
  </si>
  <si>
    <t xml:space="preserve"> Обеспечить самостоятельный онбординг и сопровождение начинающих руководителей проектов Axelot по проектной методологии, снизив нагрузку на экспертов-кураторов и ускорив выход РП на самостоятельную работу</t>
  </si>
  <si>
    <t>Но не может этого сделать, так как отсутствует централизованный цифровой инструмент самообслуживания для руководителей проектов. Начинающие РП постоянно обращаются к кураторам за помощью по регламентированным вопросам (оформление документов, порядок действий на каждом этапе проекта, подготовка план-графика, устава, командировок), что создает высокую нагрузку на экспертов и замедляет процессы. Нет оцифровки данных по проектной методологии, шаблоны разрознены, навигация по ним неструктурирована</t>
  </si>
  <si>
    <t>Ручное обучение и сопровождение кураторами. Обращение к опытным коллегам за консультациями. Использование шаблонов документов без системной навигации. Руководители групп аналитиков готовят методички и чек-листы по этапам, но они не объединены в единую систему и не доступны в режиме самообслуживания</t>
  </si>
  <si>
    <t>Проектные команды Axelot, руководители групп аналитиков, заказчики проектов, HR-отдел</t>
  </si>
  <si>
    <t>Автопилот для руководителя проекта: от онбординга до запуска</t>
  </si>
  <si>
    <t xml:space="preserve">Но не может этого сделать, тк при оцифровке существующего формата живых тренингов  теряется интерактивность, возможность задавать вопросы в реальном времени и мотивация обучающихся. Нет понимания, как удержать внимание разных целевых аудиторий в рамках одного курса, как прошить мотивацию в контент, чтобы обучающиеся проходили курс с удовольствием и азартом, а не через боль и сопротивление. </t>
  </si>
  <si>
    <t xml:space="preserve">Axelot запускает учебный центр и онлайн-школу, планирует масштабировать обучение администраторов WMS/TMS. Целевая аудитория: 1) студенты 3-4 курсов, начинающие специалисты; 2) опытные логисты (начальники складов 40+ лет); 3) топ-менеджеры, осваивающие смежные области. Гипотеза компании: видео не должно превышать 5-7 минут, но это требует проверки. Метрики эффективности: процент досматривания курса, скорость навигации по системе при аттестации, количество обращений в поддержку после обучения. </t>
  </si>
  <si>
    <t xml:space="preserve">У Axelot есть внутренняя проектная методология из 5 этапов: 1) написание технического задания, 2) обучение персонала заказчика, 3) тестирование, 4) сопровождение запуска, 5) управление проектом (план-график, устав, командировки, бюджеты, премии). В рамках каждого этапа есть определенные работы, которые выполняют определенные роли в проектной команде, и перечень проектных документов. </t>
  </si>
  <si>
    <t xml:space="preserve">Компания активно развивает цифровизацию и реализует инициативы различных типов: автоматизацию бизнес-процессов, доработки ERP/1С, BI-аналитику, RPA, интеграции, ML, AI/LLM и AI-агентов. При этом проекты существенно отличаются по характеру и типу создаваемого эффекта, поэтому их сложно сравнивать между собой по единым критериям. </t>
  </si>
  <si>
    <t xml:space="preserve">VIG Trans развивает к ERP, а также применяет различные инструменты цифровизации и автоматизации. В информационных системах компании формируется цифровой след бизнес-процессов: этапы, статусы, длительность операций, возвраты, изменения данных и действия пользователей. Поиск точек автоматизации сегодня требует ручного обследования процессов, интервью с сотрудниками и экспертного анализа. </t>
  </si>
  <si>
    <t>Но не может, так как в компании отсутствует формализованная система онбординга — функцию адаптации полностью берет на себя непосредственный руководитель, действуя по наитию. Существующие неформальные методы  не работают с новым поколением: не выявляют истинные причины низкой мотивации, не дают прозрачных критериев оценки результата, а увольнение сотрудника в РЖД по статье — длительный и сложный процесс, что делает сохранение демотивированного сотрудника крайне ресурсозатратным.</t>
  </si>
  <si>
    <t>ДКРС-ВСМ ОАО «РЖД» — дирекция, выступающая генподрядчиком в строительстве высокоскоростной магистрали по концессионному соглашению. Штат дирекции активно расширяется, наблюдается постоянная циркуляция кадров, приходит молодое поколение (выпускники вузов, 23–25 лет). Увольнение по статье в РЖД сложно доказать, поэтому переобучение или поиск замены обходится слишком дорого. При этом в смежных отделах есть примеры молодых сотрудников того же возраста, демонстрирующих высокую вовлеченность.</t>
  </si>
  <si>
    <t xml:space="preserve">Руководство поставило задачу расширить аудиторию на выпускников и создать сообщество для обмена вакансиями. Транспортные компании заинтересованы в найме, наблюдая за студентами в проектах. Важная гипотеза: добавление опции отзывов от преподавателей о сильных качествах и достижениях повысит доверие работодателей и облегчит найм, делая ресурс понятным и проверенным. </t>
  </si>
  <si>
    <t>Компания быстро развивается, штат растет. Руководство понимает, что внутренний бренд формируется через ежедневное взаимодействие (поздравления, новости производства, опросы). Ожидаемый результат: Разработанный регламент работы внутреннего канала, контент-план (рубрикатор) и техническое задание/прототип автоматизации (Telegram-бот) для HR-специалиста.</t>
  </si>
  <si>
    <t>Ф7 Групп — многопрофильный холдинг. Внутренний найм централизован в Москве. Компания сталкивается с острым дефицитом узкопрофильных кадров (не могут найти конструктора одежды, так как кандидаты не видят привлекательности работодателя). Ожидаемый результат: Стратегия HR-бренда, матрица использования юрлиц для найма, план повышения узнаваемости. Рекомендуется Анализ CJM кандидата, матрица позиционирования брендов, инструменты оценки HR-бренда (анализ отзывов на DreamJob), сегментация аудитории.</t>
  </si>
  <si>
    <t>но не может этого сделать, так как группа компаний объединяет совершенно разные направления (гособоронзаказ, коммерческое швейное производство, пластиковые изделия, биотехнологии, телемедицина) и географически разрозненные площадки (Москва, Ульяновск, Дрожжино). Отсутствует понимание, какое юридическое лицо использовать как «флагманское» для найма ИТР в Москве, так как текущее использование бренда регионального юрлица (Ульяновск-Абсолют) не работает для привлечения столичных специалистов.</t>
  </si>
  <si>
    <t xml:space="preserve">Компания работает в сфере международных перевозок и таможенного оформления, взаимодействует с иностранными контрагентами. Возможные инструменты: обращение в ТПП страны, получение выписки по компании, запросы в госорганы, проверка бенефициарных владельцев. проверка интересна вразвивающихся или слаборазвитых и/или в  странах со сниженной административной ответственностью перевозчика, .Компания работает в т.ч. с контрагентами из стран Ближнего Востока, Персидского залива, Азии и т.к.  </t>
  </si>
  <si>
    <t>Есть общее понимание, что опасные грузы по ЖД Китая не принимаются, однако точечные проверки выявляют станции, способные принять груз; у студентов есть китайский язык для работы с источниками; возможна экспертиза наставников. Ожидаемый результат — реестр станций + алгоритм/инструмент регулярного получения и актуализации информации без ручного труда (письма, скрипты обзвона, поиск источников, ИИ) и рекомендации по поддержанию базы в актуальном состоянии.и.</t>
  </si>
  <si>
    <t>Заказчик считает приемлемыми три результата: (1) идеал — подтверждение возможности и организация сухопутной перевозки через погранпереходы; (2) альтернатива — комбинированные схемы (доставка автовозами до пунктов в Китае, далее ЖД; либо море+ЖД), если они лучше текущей; (3) документированное обоснование, почему сухопутием вести нельзя (регуляторные ограничения) — готовый аргумент для клиента; любой из трех результатов ценен для компании (win-win).</t>
  </si>
  <si>
    <t>Хочет определить наиболее эффективные схемы доставки грузов из стран ЮВА (Вьетнам, Таиланд, Индонезия, Япония, Корея, а также Индия) в страны СНГ (Беларусь, Казахстан, Узбекистан) через территорию Китая с учетом стоимости перевозки, сроков доставки, инфраструктурных возможностей и существующих ограничений, и получить «полную карту» ключевых направлений</t>
  </si>
  <si>
    <t xml:space="preserve"> но не может этого сделать, тк в штате нет ресурсов для проведения обзора и систематизации англоязычных академических источников по данной теме, а также отсутствует методология адаптации выводов, сделанных преимущественно на товарах повседневного спроса (FMCG), к специфике мебельного рынка (редкая дорогая покупка с долгим выбором);  большая часть релевантной литературы находится на английском языке и требует качественного анализа с выводами, применимыми  с поправкой и неприменимые к мебели.
</t>
  </si>
  <si>
    <t xml:space="preserve">Компанияи оформляет грузы сегмента зап.частей . Номенклатура товаров приблизительно одинаковая , но каждый специалист работает со своей клиентской базой в программе «Артикул». Один и тот же артикул от поставщика может оформляться разными специалистами для разных клиентов, но каждый раз прорабатывается заново: подбирается код ТН ВЭД, определяется разрешительная документация. Это приводит к дублированию усилий и неэффективному использованию ресурсов. </t>
  </si>
  <si>
    <t>Комания осуществляет таможенное оформление грузов всеми видами транспорта. До 2025г декларации направлялись в профильные ЦЭДы, что позволяло учитывать специфику требований каждого ЦЭДа и обеспечивало быстрый выпуск. Из-за новых регламентов система будет распределять декларации по загруженности ЦЭДов, что приведёт к ситуации, когда, напр авиадекларация попадёт в Уральский ЦЭД, который  не работал с таким типом грузов. Это создаёт риски увеличения времени выпуска и снижения лояльности клиентов.</t>
  </si>
  <si>
    <t xml:space="preserve">Major-логистическая компания, специализирующаяся на международных перевозках и таможенном оформлении всеми видами транспорта. Специалисты Центра электронного декларирования работают с документами от клиентов для подготовки деклараций, подбора кодов ТН ВЭД, оформления разрешительной документации. Каждый клиент предоставляет информацию в своём формате, а внутри клиента разные поставщики также используют разные форматы документов. </t>
  </si>
  <si>
    <t xml:space="preserve">КСТП выступает ключевым связующим звеном для логистических компаний, информируя их о новых возможностях на рынке. 
Комплексная информация о проектах по развитию зарубежной и российской инфраструктуры (особенно по коридору «Север-Юг» и в Индии) рассредоточена в различных публичных источниках и поступает несистемно, случайно или с задержкой. Информация нкжна, чтобы формировать предложения для синхронизации проектов развития и помогать в принятии инвестиционных решений членам  и партнерами 
</t>
  </si>
  <si>
    <t>— Новая техника проходит сертификацию через 2–3 месяца после поставки, поэтому  требования известны с задержкой; — Водители не всегда соблюдают режим обкатки , что ведёт к поломкам и претензиям; — Отсутствует стандартизированный чек-лист приёма техники на границе; — Необходимо учитывать требования к мочевине, техническим жидкостям, страхованию , транзитным документам по Казахстану/Монголии; — Риск конфискации за недекларированные комплектующие, которые китайские заводы кладут в кабину или кузов.</t>
  </si>
  <si>
    <t>Компания работает только с  подрядчиками, прошедшими проверку службы безопасности. Экспедитору важна скорость формирования коммерческого предложения, а не детальная калькуляция затрат перевозчика. Требуется возможность трекинга груза без звонков водителю. для расчета стоимости перевозки грузов</t>
  </si>
  <si>
    <t>mjr.ru ряд перевозчиков применяет к учету следующие данные: -11-13 р/км оплата водителю + 1000 руб суточные (уже на руки), - расход топлива 32л/100км, - система платон 3,53руб/км (с марта 5,1руб/км), заработная плата административный штата организации, сервисное обслуживание автотранспорта, общехозяйственные расходы организации (аренда, канцтовары, связь и т.д.). Учитывается сезонность спроса на транспорт регионов, рыночная стоимость перевозки на сегодня.</t>
  </si>
  <si>
    <t>Хочет минимизировать риски увеличения времени выпуска деклараций после вступления в силу изменений законодательства с 1 марта 2025 г. (перераспределение деклараций по ЦЭДам по загруженности вместо профильной привязки к виду транспорта),</t>
  </si>
  <si>
    <t>но не может, так как отсутствует методология формирования универсальных пакетов документов, способных снять дополнительные вопросы непрофильных ЦЭДов, не знакомых с типом груза или транспорта</t>
  </si>
  <si>
    <t xml:space="preserve">Хочет создать единую актуализированную базу данных артикулов запасных частей (~100 000 позиций) для всех специалистов, работающих с этим сегментом, </t>
  </si>
  <si>
    <t>Используюющася база данных децентрализованна: каждый специалист прорабатывает артикулы своих клиентов с нуля, не проверяя наличие информации у коллег, просиходит дублирование усилий при проработке одинаковых товаров разных клиентов. Ручная проверка актуальности через каталоги клиентов (если предоставлен доступ) или открытые источники в интернете — процесс трудоёмкий и несистемный</t>
  </si>
  <si>
    <t xml:space="preserve"> но не может, так как отсутствуют ресурсы для трудоёмкой ручной сверки массива данных на актуальность кодов ТН ВЭД и разрешительной документации, а также нет ответственного за поддержание актуальности базы. </t>
  </si>
  <si>
    <t>хочет разработать практически применимый алгоритм проверки благонадёжности контрагентов-нерезидентов и их бенефициарных владельцев, а также проработать инструкции по действенным инструментам возврата авансов за недоставленные или повреждённые грузы, чтобы снизить риски при международных операциях и повысить безопасность работы с иностранными партнёрами</t>
  </si>
  <si>
    <t>но не может этого сделать, так как проверка нерезидентов значительно сложнее проверки российских компаний: информация находится в иностранных источниках с ограниченным доступом, компания прибегает к таким проверкам крайне редко, а текущий ключевой алгоритм проверки очень простой и не подходит для нерезидентов; при этом отсутствует системный алгоритм, описывающий, какие ресурсы использовать, какие выписки запрашивать и как проверять бенефициаров.</t>
  </si>
  <si>
    <t>Имеющееся решение (использование отдельных информационных ресурсов без системного подхода) не помогает, потому что оно не даёт полной картины о контрагенте и его бенефициарах, оставляет «слепые зоны» и не позволяет принимать обоснованные решения о сотрудничестве. При этом отсутствие инструкций по возврату авансов и взысканию убытков с недобросовестных иностранных контрагентов оставляет компанию без инструментов защиты в случае возникновения проблем.</t>
  </si>
  <si>
    <t>У КСТП нет инструмента для агрегации данных, анализа взаимосвязей и прогноза смежных инвестиций. Участникам сложно показать, как развитие инфраструктуры снижает издержки и создает новые ниши для высокодоходного бизнеса. Необходимо разработать подходы к наглядной визуализации этих зависимостей, при этом точный формат и жесткие критерии конечного результата пока не фиксируются, чтобы сохранить гибкость при поиске решений.</t>
  </si>
  <si>
    <t>Major Cargo работает со сложными, нестандартными маршрутами. Ошибка в понимании географии ведет к репутационным и финансовым потерям. .</t>
  </si>
  <si>
    <t>ООО «ФИТ» развивает сухопутные перевозки из Китая и Юго-Восточной Азии в Россию и страны СНГ; отдел занимается развитием новых сервисов и запусков под проекты. .</t>
  </si>
  <si>
    <t>С 1 марта 2025 г. подготовка документов под профильные ЦЭДы теряет смысл: система автоматически направит декларацию в наименее загруженный центр. При этом у каждого ЦЭД есть свои внутренние правила (платежи, курсовые разницы, классификация). Попадание декларации в непрофильный ЦЭД увеличит срок её выпуска из-за необходимости дозапроса документов по незнакомому типу груза</t>
  </si>
  <si>
    <t>ИМТК, ИЖТ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</si>
</sst>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000000"/>
      <name val="Times New Roman"/>
      <family val="1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6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2" applyFont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center"/>
    </xf>
    <xf numFmtId="0" fontId="7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4" fillId="3" borderId="1" xfId="2" applyFont="1" applyFill="1" applyBorder="1" applyAlignment="1">
      <alignment vertical="top" wrapText="1"/>
    </xf>
    <xf numFmtId="0" fontId="0" fillId="3" borderId="2" xfId="0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4" borderId="1" xfId="1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top" wrapText="1"/>
    </xf>
    <xf numFmtId="0" fontId="0" fillId="0" borderId="2" xfId="0" applyBorder="1"/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</cellXfs>
  <cellStyles count="3">
    <cellStyle name="Гиперссылка" xfId="1" builtinId="8"/>
    <cellStyle name="Обычный" xfId="0" builtinId="0"/>
    <cellStyle name="Обычный 5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jr.ru/;" TargetMode="External"/><Relationship Id="rId1" Type="http://schemas.openxmlformats.org/officeDocument/2006/relationships/hyperlink" Target="https://h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0"/>
  <sheetViews>
    <sheetView tabSelected="1" zoomScale="50" zoomScaleNormal="50" workbookViewId="0">
      <pane xSplit="2" topLeftCell="C1" activePane="topRight" state="frozen"/>
      <selection pane="topRight" activeCell="H25" sqref="H25"/>
    </sheetView>
  </sheetViews>
  <sheetFormatPr defaultColWidth="12.5546875" defaultRowHeight="15.75" customHeight="1" x14ac:dyDescent="0.3"/>
  <cols>
    <col min="1" max="1" width="16.109375" style="24" customWidth="1"/>
    <col min="2" max="2" width="15.21875" style="44" customWidth="1"/>
    <col min="3" max="3" width="12.5546875" style="51"/>
    <col min="4" max="4" width="24.21875" style="44" customWidth="1"/>
    <col min="5" max="5" width="33.77734375" style="45" customWidth="1"/>
    <col min="6" max="6" width="22.6640625" style="45" customWidth="1"/>
    <col min="7" max="7" width="10" style="45" customWidth="1"/>
    <col min="8" max="8" width="41.6640625" style="47" customWidth="1"/>
    <col min="9" max="9" width="56.6640625" style="45" customWidth="1"/>
    <col min="10" max="10" width="68.44140625" style="45" customWidth="1"/>
    <col min="11" max="11" width="64.77734375" style="45" customWidth="1"/>
    <col min="12" max="12" width="81.88671875" style="45" customWidth="1"/>
    <col min="13" max="13" width="30.88671875" style="45" customWidth="1"/>
    <col min="14" max="14" width="31.5546875" style="47" customWidth="1"/>
    <col min="15" max="16" width="31.44140625" style="45" customWidth="1"/>
    <col min="17" max="17" width="34.21875" style="24" customWidth="1"/>
    <col min="18" max="18" width="24.6640625" style="24" customWidth="1"/>
    <col min="19" max="19" width="12.5546875" style="21"/>
    <col min="20" max="23" width="12.5546875" style="6"/>
    <col min="24" max="16384" width="12.5546875" style="5"/>
  </cols>
  <sheetData>
    <row r="1" spans="1:40" s="2" customFormat="1" ht="54" customHeight="1" x14ac:dyDescent="0.3">
      <c r="A1" s="57" t="s">
        <v>180</v>
      </c>
      <c r="B1" s="59" t="s">
        <v>0</v>
      </c>
      <c r="C1" s="59" t="s">
        <v>140</v>
      </c>
      <c r="D1" s="59" t="s">
        <v>139</v>
      </c>
      <c r="E1" s="58" t="s">
        <v>143</v>
      </c>
      <c r="F1" s="58" t="s">
        <v>144</v>
      </c>
      <c r="G1" s="58" t="s">
        <v>1</v>
      </c>
      <c r="H1" s="58" t="s">
        <v>2</v>
      </c>
      <c r="I1" s="58" t="s">
        <v>3</v>
      </c>
      <c r="J1" s="58" t="s">
        <v>4</v>
      </c>
      <c r="K1" s="58" t="s">
        <v>5</v>
      </c>
      <c r="L1" s="58" t="s">
        <v>146</v>
      </c>
      <c r="M1" s="58" t="s">
        <v>147</v>
      </c>
      <c r="N1" s="58" t="s">
        <v>6</v>
      </c>
      <c r="O1" s="58" t="s">
        <v>7</v>
      </c>
      <c r="P1" s="58" t="s">
        <v>148</v>
      </c>
      <c r="Q1" s="58" t="s">
        <v>8</v>
      </c>
      <c r="R1" s="58" t="s">
        <v>9</v>
      </c>
      <c r="S1" s="11"/>
      <c r="T1" s="1"/>
      <c r="U1" s="1"/>
      <c r="V1" s="1"/>
      <c r="W1" s="1"/>
    </row>
    <row r="2" spans="1:40" s="10" customFormat="1" ht="54" customHeight="1" x14ac:dyDescent="0.3">
      <c r="A2" s="57"/>
      <c r="B2" s="59"/>
      <c r="C2" s="59"/>
      <c r="D2" s="59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11"/>
      <c r="T2" s="11"/>
      <c r="U2" s="11"/>
      <c r="V2" s="11"/>
      <c r="W2" s="11"/>
    </row>
    <row r="3" spans="1:40" s="3" customFormat="1" ht="82.95" customHeight="1" x14ac:dyDescent="0.3">
      <c r="A3" s="25" t="s">
        <v>181</v>
      </c>
      <c r="B3" s="26">
        <v>1</v>
      </c>
      <c r="C3" s="24" t="s">
        <v>141</v>
      </c>
      <c r="D3" s="26" t="s">
        <v>11</v>
      </c>
      <c r="E3" s="27" t="s">
        <v>179</v>
      </c>
      <c r="F3" s="27" t="s">
        <v>145</v>
      </c>
      <c r="G3" s="27" t="s">
        <v>135</v>
      </c>
      <c r="H3" s="27" t="s">
        <v>161</v>
      </c>
      <c r="I3" s="27" t="s">
        <v>12</v>
      </c>
      <c r="J3" s="27" t="s">
        <v>13</v>
      </c>
      <c r="K3" s="27" t="s">
        <v>14</v>
      </c>
      <c r="L3" s="27" t="s">
        <v>15</v>
      </c>
      <c r="M3" s="27" t="s">
        <v>160</v>
      </c>
      <c r="N3" s="27"/>
      <c r="O3" s="27" t="s">
        <v>79</v>
      </c>
      <c r="P3" s="27" t="s">
        <v>149</v>
      </c>
      <c r="Q3" s="27"/>
      <c r="R3" s="27" t="s">
        <v>16</v>
      </c>
      <c r="S3" s="4">
        <f>LEN(I3)</f>
        <v>172</v>
      </c>
      <c r="T3" s="4">
        <f t="shared" ref="T3:W3" si="0">LEN(J3)</f>
        <v>264</v>
      </c>
      <c r="U3" s="4">
        <f t="shared" si="0"/>
        <v>329</v>
      </c>
      <c r="V3" s="4">
        <f t="shared" si="0"/>
        <v>222</v>
      </c>
      <c r="W3" s="4">
        <f t="shared" si="0"/>
        <v>132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s="3" customFormat="1" ht="82.95" customHeight="1" x14ac:dyDescent="0.3">
      <c r="A4" s="25" t="s">
        <v>181</v>
      </c>
      <c r="B4" s="26">
        <v>2</v>
      </c>
      <c r="C4" s="24" t="s">
        <v>141</v>
      </c>
      <c r="D4" s="26" t="s">
        <v>11</v>
      </c>
      <c r="E4" s="27" t="s">
        <v>179</v>
      </c>
      <c r="F4" s="27" t="s">
        <v>145</v>
      </c>
      <c r="G4" s="27" t="s">
        <v>136</v>
      </c>
      <c r="H4" s="27" t="s">
        <v>161</v>
      </c>
      <c r="I4" s="27" t="s">
        <v>17</v>
      </c>
      <c r="J4" s="27" t="s">
        <v>18</v>
      </c>
      <c r="K4" s="27" t="s">
        <v>19</v>
      </c>
      <c r="L4" s="27" t="s">
        <v>20</v>
      </c>
      <c r="M4" s="27" t="s">
        <v>21</v>
      </c>
      <c r="N4" s="27"/>
      <c r="O4" s="27" t="s">
        <v>79</v>
      </c>
      <c r="P4" s="27" t="s">
        <v>149</v>
      </c>
      <c r="Q4" s="27"/>
      <c r="R4" s="27" t="s">
        <v>22</v>
      </c>
      <c r="S4" s="4">
        <f t="shared" ref="S4:S29" si="1">LEN(I4)</f>
        <v>196</v>
      </c>
      <c r="T4" s="4">
        <f t="shared" ref="T4:T29" si="2">LEN(J4)</f>
        <v>219</v>
      </c>
      <c r="U4" s="4">
        <f t="shared" ref="U4:U29" si="3">LEN(K4)</f>
        <v>289</v>
      </c>
      <c r="V4" s="4">
        <f t="shared" ref="V4:V27" si="4">LEN(L4)</f>
        <v>309</v>
      </c>
      <c r="W4" s="4">
        <f t="shared" ref="W4:W29" si="5">LEN(M4)</f>
        <v>81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s="3" customFormat="1" ht="153" customHeight="1" x14ac:dyDescent="0.3">
      <c r="A5" s="24"/>
      <c r="B5" s="26">
        <v>3</v>
      </c>
      <c r="C5" s="24" t="s">
        <v>177</v>
      </c>
      <c r="D5" s="26" t="s">
        <v>182</v>
      </c>
      <c r="E5" s="27" t="s">
        <v>186</v>
      </c>
      <c r="F5" s="27" t="s">
        <v>145</v>
      </c>
      <c r="G5" s="27" t="s">
        <v>10</v>
      </c>
      <c r="H5" s="27" t="s">
        <v>183</v>
      </c>
      <c r="I5" s="27" t="s">
        <v>24</v>
      </c>
      <c r="J5" s="27" t="s">
        <v>25</v>
      </c>
      <c r="K5" s="27" t="s">
        <v>26</v>
      </c>
      <c r="L5" s="27" t="s">
        <v>250</v>
      </c>
      <c r="M5" s="27" t="s">
        <v>184</v>
      </c>
      <c r="N5" s="27"/>
      <c r="O5" s="27"/>
      <c r="P5" s="27" t="s">
        <v>150</v>
      </c>
      <c r="Q5" s="27"/>
      <c r="R5" s="27" t="s">
        <v>27</v>
      </c>
      <c r="S5" s="4">
        <f t="shared" si="1"/>
        <v>371</v>
      </c>
      <c r="T5" s="4">
        <f t="shared" si="2"/>
        <v>264</v>
      </c>
      <c r="U5" s="4">
        <f t="shared" si="3"/>
        <v>359</v>
      </c>
      <c r="V5" s="4">
        <f>LEN(L5)</f>
        <v>493</v>
      </c>
      <c r="W5" s="4">
        <f t="shared" si="5"/>
        <v>71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s="3" customFormat="1" ht="126.6" customHeight="1" x14ac:dyDescent="0.3">
      <c r="A6" s="24"/>
      <c r="B6" s="26">
        <v>4</v>
      </c>
      <c r="C6" s="48" t="s">
        <v>141</v>
      </c>
      <c r="D6" s="26" t="s">
        <v>182</v>
      </c>
      <c r="E6" s="27" t="s">
        <v>23</v>
      </c>
      <c r="F6" s="27" t="s">
        <v>145</v>
      </c>
      <c r="G6" s="27" t="s">
        <v>10</v>
      </c>
      <c r="H6" s="27" t="s">
        <v>183</v>
      </c>
      <c r="I6" s="27" t="s">
        <v>28</v>
      </c>
      <c r="J6" s="27" t="s">
        <v>29</v>
      </c>
      <c r="K6" s="27" t="s">
        <v>30</v>
      </c>
      <c r="L6" s="27" t="s">
        <v>262</v>
      </c>
      <c r="M6" s="27" t="s">
        <v>185</v>
      </c>
      <c r="N6" s="27"/>
      <c r="O6" s="27"/>
      <c r="P6" s="27" t="s">
        <v>151</v>
      </c>
      <c r="Q6" s="27"/>
      <c r="R6" s="27" t="s">
        <v>31</v>
      </c>
      <c r="S6" s="4">
        <f t="shared" si="1"/>
        <v>439</v>
      </c>
      <c r="T6" s="4">
        <f t="shared" si="2"/>
        <v>280</v>
      </c>
      <c r="U6" s="4">
        <f t="shared" si="3"/>
        <v>374</v>
      </c>
      <c r="V6" s="4">
        <f t="shared" si="4"/>
        <v>423</v>
      </c>
      <c r="W6" s="4">
        <f t="shared" si="5"/>
        <v>68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s="14" customFormat="1" ht="155.4" customHeight="1" x14ac:dyDescent="0.3">
      <c r="A7" s="30"/>
      <c r="B7" s="26">
        <v>5</v>
      </c>
      <c r="C7" s="50" t="s">
        <v>141</v>
      </c>
      <c r="D7" s="31" t="s">
        <v>42</v>
      </c>
      <c r="E7" s="32" t="s">
        <v>43</v>
      </c>
      <c r="F7" s="32" t="s">
        <v>145</v>
      </c>
      <c r="G7" s="32" t="s">
        <v>10</v>
      </c>
      <c r="H7" s="33" t="s">
        <v>187</v>
      </c>
      <c r="I7" s="33" t="s">
        <v>158</v>
      </c>
      <c r="J7" s="33" t="s">
        <v>159</v>
      </c>
      <c r="K7" s="33" t="s">
        <v>44</v>
      </c>
      <c r="L7" s="33" t="s">
        <v>249</v>
      </c>
      <c r="M7" s="33" t="s">
        <v>45</v>
      </c>
      <c r="N7" s="33" t="s">
        <v>32</v>
      </c>
      <c r="O7" s="32" t="s">
        <v>79</v>
      </c>
      <c r="P7" s="32" t="s">
        <v>151</v>
      </c>
      <c r="Q7" s="34" t="s">
        <v>129</v>
      </c>
      <c r="R7" s="33" t="s">
        <v>46</v>
      </c>
      <c r="S7" s="4">
        <f t="shared" si="1"/>
        <v>416</v>
      </c>
      <c r="T7" s="4">
        <f t="shared" si="2"/>
        <v>482</v>
      </c>
      <c r="U7" s="4">
        <f t="shared" si="3"/>
        <v>284</v>
      </c>
      <c r="V7" s="4">
        <f>LEN(L7)</f>
        <v>432</v>
      </c>
      <c r="W7" s="4">
        <f t="shared" si="5"/>
        <v>163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s="14" customFormat="1" ht="141.6" customHeight="1" x14ac:dyDescent="0.3">
      <c r="A8" s="30"/>
      <c r="B8" s="26">
        <v>6</v>
      </c>
      <c r="C8" s="50" t="s">
        <v>141</v>
      </c>
      <c r="D8" s="31" t="s">
        <v>42</v>
      </c>
      <c r="E8" s="32" t="s">
        <v>47</v>
      </c>
      <c r="F8" s="32" t="s">
        <v>145</v>
      </c>
      <c r="G8" s="32" t="s">
        <v>10</v>
      </c>
      <c r="H8" s="33" t="s">
        <v>48</v>
      </c>
      <c r="I8" s="55" t="s">
        <v>254</v>
      </c>
      <c r="J8" s="55" t="s">
        <v>255</v>
      </c>
      <c r="K8" s="55" t="s">
        <v>265</v>
      </c>
      <c r="L8" s="33" t="s">
        <v>248</v>
      </c>
      <c r="M8" s="33" t="s">
        <v>49</v>
      </c>
      <c r="N8" s="33" t="s">
        <v>32</v>
      </c>
      <c r="O8" s="32" t="s">
        <v>79</v>
      </c>
      <c r="P8" s="32" t="s">
        <v>152</v>
      </c>
      <c r="Q8" s="33" t="s">
        <v>130</v>
      </c>
      <c r="R8" s="33" t="s">
        <v>50</v>
      </c>
      <c r="S8" s="4">
        <f t="shared" si="1"/>
        <v>236</v>
      </c>
      <c r="T8" s="4">
        <f t="shared" si="2"/>
        <v>191</v>
      </c>
      <c r="U8" s="4">
        <f t="shared" si="3"/>
        <v>373</v>
      </c>
      <c r="V8" s="4">
        <f>LEN(L8)</f>
        <v>497</v>
      </c>
      <c r="W8" s="4">
        <f t="shared" si="5"/>
        <v>136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s="14" customFormat="1" ht="143.4" customHeight="1" x14ac:dyDescent="0.3">
      <c r="A9" s="30"/>
      <c r="B9" s="26">
        <v>7</v>
      </c>
      <c r="C9" s="50" t="s">
        <v>141</v>
      </c>
      <c r="D9" s="31" t="s">
        <v>42</v>
      </c>
      <c r="E9" s="32" t="s">
        <v>43</v>
      </c>
      <c r="F9" s="32" t="s">
        <v>145</v>
      </c>
      <c r="G9" s="32" t="s">
        <v>10</v>
      </c>
      <c r="H9" s="33" t="s">
        <v>163</v>
      </c>
      <c r="I9" s="55" t="s">
        <v>256</v>
      </c>
      <c r="J9" s="55" t="s">
        <v>258</v>
      </c>
      <c r="K9" s="55" t="s">
        <v>257</v>
      </c>
      <c r="L9" s="33" t="s">
        <v>247</v>
      </c>
      <c r="M9" s="33" t="s">
        <v>51</v>
      </c>
      <c r="N9" s="33" t="s">
        <v>32</v>
      </c>
      <c r="O9" s="32" t="s">
        <v>79</v>
      </c>
      <c r="P9" s="32" t="s">
        <v>152</v>
      </c>
      <c r="Q9" s="33" t="s">
        <v>52</v>
      </c>
      <c r="R9" s="33" t="s">
        <v>53</v>
      </c>
      <c r="S9" s="4">
        <f t="shared" si="1"/>
        <v>148</v>
      </c>
      <c r="T9" s="4">
        <f t="shared" si="2"/>
        <v>207</v>
      </c>
      <c r="U9" s="4">
        <f t="shared" si="3"/>
        <v>382</v>
      </c>
      <c r="V9" s="4">
        <f>LEN(L9)</f>
        <v>453</v>
      </c>
      <c r="W9" s="4">
        <f t="shared" si="5"/>
        <v>176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ht="128.4" customHeight="1" x14ac:dyDescent="0.3">
      <c r="A10" s="35">
        <v>2</v>
      </c>
      <c r="B10" s="26">
        <v>8</v>
      </c>
      <c r="C10" s="48" t="s">
        <v>141</v>
      </c>
      <c r="D10" s="26" t="s">
        <v>54</v>
      </c>
      <c r="E10" s="27" t="s">
        <v>55</v>
      </c>
      <c r="F10" s="27" t="s">
        <v>145</v>
      </c>
      <c r="G10" s="27" t="s">
        <v>266</v>
      </c>
      <c r="H10" s="27" t="s">
        <v>162</v>
      </c>
      <c r="I10" s="27" t="s">
        <v>56</v>
      </c>
      <c r="J10" s="27" t="s">
        <v>57</v>
      </c>
      <c r="K10" s="27" t="s">
        <v>58</v>
      </c>
      <c r="L10" s="27" t="s">
        <v>59</v>
      </c>
      <c r="M10" s="27" t="s">
        <v>60</v>
      </c>
      <c r="N10" s="27"/>
      <c r="O10" s="27"/>
      <c r="P10" s="36" t="s">
        <v>152</v>
      </c>
      <c r="Q10" s="36" t="s">
        <v>131</v>
      </c>
      <c r="R10" s="27" t="s">
        <v>61</v>
      </c>
      <c r="S10" s="4">
        <f t="shared" si="1"/>
        <v>285</v>
      </c>
      <c r="T10" s="4">
        <f t="shared" si="2"/>
        <v>455</v>
      </c>
      <c r="U10" s="4">
        <f t="shared" si="3"/>
        <v>332</v>
      </c>
      <c r="V10" s="4">
        <f t="shared" si="4"/>
        <v>444</v>
      </c>
      <c r="W10" s="4">
        <f t="shared" si="5"/>
        <v>219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ht="88.2" customHeight="1" x14ac:dyDescent="0.3">
      <c r="A11" s="35">
        <v>2</v>
      </c>
      <c r="B11" s="26">
        <v>9</v>
      </c>
      <c r="C11" s="48" t="s">
        <v>141</v>
      </c>
      <c r="D11" s="26" t="s">
        <v>54</v>
      </c>
      <c r="E11" s="27" t="s">
        <v>55</v>
      </c>
      <c r="F11" s="27" t="s">
        <v>145</v>
      </c>
      <c r="G11" s="27" t="s">
        <v>266</v>
      </c>
      <c r="H11" s="27" t="s">
        <v>162</v>
      </c>
      <c r="I11" s="27" t="s">
        <v>62</v>
      </c>
      <c r="J11" s="27" t="s">
        <v>63</v>
      </c>
      <c r="K11" s="27" t="s">
        <v>64</v>
      </c>
      <c r="L11" s="27" t="s">
        <v>65</v>
      </c>
      <c r="M11" s="27" t="s">
        <v>66</v>
      </c>
      <c r="N11" s="27"/>
      <c r="O11" s="27"/>
      <c r="P11" s="36" t="s">
        <v>152</v>
      </c>
      <c r="Q11" s="36" t="s">
        <v>67</v>
      </c>
      <c r="R11" s="27" t="s">
        <v>68</v>
      </c>
      <c r="S11" s="4">
        <f t="shared" si="1"/>
        <v>190</v>
      </c>
      <c r="T11" s="4">
        <f t="shared" si="2"/>
        <v>442</v>
      </c>
      <c r="U11" s="4">
        <f t="shared" si="3"/>
        <v>165</v>
      </c>
      <c r="V11" s="4">
        <f t="shared" si="4"/>
        <v>280</v>
      </c>
      <c r="W11" s="4">
        <f t="shared" si="5"/>
        <v>151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s="16" customFormat="1" ht="177" customHeight="1" x14ac:dyDescent="0.3">
      <c r="A12" s="37">
        <v>2</v>
      </c>
      <c r="B12" s="26">
        <v>10</v>
      </c>
      <c r="C12" s="50" t="s">
        <v>141</v>
      </c>
      <c r="D12" s="31" t="s">
        <v>54</v>
      </c>
      <c r="E12" s="32" t="s">
        <v>55</v>
      </c>
      <c r="F12" s="32" t="s">
        <v>145</v>
      </c>
      <c r="G12" s="32" t="s">
        <v>10</v>
      </c>
      <c r="H12" s="32" t="s">
        <v>162</v>
      </c>
      <c r="I12" s="32" t="s">
        <v>69</v>
      </c>
      <c r="J12" s="32" t="s">
        <v>251</v>
      </c>
      <c r="K12" s="32" t="s">
        <v>70</v>
      </c>
      <c r="L12" s="32" t="s">
        <v>71</v>
      </c>
      <c r="M12" s="32" t="s">
        <v>72</v>
      </c>
      <c r="N12" s="32"/>
      <c r="O12" s="32"/>
      <c r="P12" s="32" t="s">
        <v>152</v>
      </c>
      <c r="Q12" s="32" t="s">
        <v>73</v>
      </c>
      <c r="R12" s="32" t="s">
        <v>132</v>
      </c>
      <c r="S12" s="4">
        <f t="shared" si="1"/>
        <v>286</v>
      </c>
      <c r="T12" s="4">
        <f t="shared" si="2"/>
        <v>500</v>
      </c>
      <c r="U12" s="4">
        <f t="shared" si="3"/>
        <v>325</v>
      </c>
      <c r="V12" s="4">
        <f t="shared" si="4"/>
        <v>148</v>
      </c>
      <c r="W12" s="4">
        <f t="shared" si="5"/>
        <v>180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s="15" customFormat="1" ht="96" customHeight="1" x14ac:dyDescent="0.3">
      <c r="A13" s="38"/>
      <c r="B13" s="26">
        <v>11</v>
      </c>
      <c r="C13" s="50" t="s">
        <v>141</v>
      </c>
      <c r="D13" s="39" t="s">
        <v>42</v>
      </c>
      <c r="E13" s="40" t="s">
        <v>188</v>
      </c>
      <c r="F13" s="32" t="s">
        <v>145</v>
      </c>
      <c r="G13" s="40" t="s">
        <v>10</v>
      </c>
      <c r="H13" s="40" t="s">
        <v>164</v>
      </c>
      <c r="I13" s="40" t="s">
        <v>74</v>
      </c>
      <c r="J13" s="40" t="s">
        <v>75</v>
      </c>
      <c r="K13" s="40" t="s">
        <v>76</v>
      </c>
      <c r="L13" s="40" t="s">
        <v>252</v>
      </c>
      <c r="M13" s="40" t="s">
        <v>77</v>
      </c>
      <c r="N13" s="40"/>
      <c r="O13" s="40"/>
      <c r="P13" s="32" t="s">
        <v>152</v>
      </c>
      <c r="Q13" s="54" t="s">
        <v>253</v>
      </c>
      <c r="R13" s="40" t="s">
        <v>78</v>
      </c>
      <c r="S13" s="4">
        <f t="shared" si="1"/>
        <v>259</v>
      </c>
      <c r="T13" s="4">
        <f t="shared" si="2"/>
        <v>224</v>
      </c>
      <c r="U13" s="4">
        <f t="shared" si="3"/>
        <v>221</v>
      </c>
      <c r="V13" s="4">
        <f>LEN(L13)</f>
        <v>294</v>
      </c>
      <c r="W13" s="4">
        <f t="shared" si="5"/>
        <v>56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s="17" customFormat="1" ht="103.2" customHeight="1" x14ac:dyDescent="0.3">
      <c r="A14" s="18"/>
      <c r="B14" s="26">
        <v>12</v>
      </c>
      <c r="C14" s="46" t="s">
        <v>141</v>
      </c>
      <c r="D14" s="19" t="s">
        <v>80</v>
      </c>
      <c r="E14" s="18" t="s">
        <v>200</v>
      </c>
      <c r="F14" s="41" t="s">
        <v>145</v>
      </c>
      <c r="G14" s="18" t="s">
        <v>10</v>
      </c>
      <c r="H14" s="18" t="s">
        <v>164</v>
      </c>
      <c r="I14" s="18" t="s">
        <v>81</v>
      </c>
      <c r="J14" s="18" t="s">
        <v>82</v>
      </c>
      <c r="K14" s="18" t="s">
        <v>83</v>
      </c>
      <c r="L14" s="18" t="s">
        <v>263</v>
      </c>
      <c r="M14" s="18" t="s">
        <v>84</v>
      </c>
      <c r="N14" s="18" t="s">
        <v>32</v>
      </c>
      <c r="O14" s="18"/>
      <c r="P14" s="41" t="s">
        <v>152</v>
      </c>
      <c r="Q14" s="18" t="s">
        <v>85</v>
      </c>
      <c r="R14" s="18" t="s">
        <v>86</v>
      </c>
      <c r="S14" s="4">
        <f t="shared" si="1"/>
        <v>215</v>
      </c>
      <c r="T14" s="4">
        <f t="shared" si="2"/>
        <v>436</v>
      </c>
      <c r="U14" s="4">
        <f t="shared" si="3"/>
        <v>403</v>
      </c>
      <c r="V14" s="4">
        <f t="shared" si="4"/>
        <v>135</v>
      </c>
      <c r="W14" s="4">
        <f t="shared" si="5"/>
        <v>106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 s="7" customFormat="1" ht="160.19999999999999" customHeight="1" x14ac:dyDescent="0.3">
      <c r="A15" s="24"/>
      <c r="B15" s="26">
        <v>13</v>
      </c>
      <c r="C15" s="48" t="s">
        <v>141</v>
      </c>
      <c r="D15" s="26" t="s">
        <v>87</v>
      </c>
      <c r="E15" s="27" t="s">
        <v>79</v>
      </c>
      <c r="F15" s="27" t="s">
        <v>145</v>
      </c>
      <c r="G15" s="27" t="s">
        <v>10</v>
      </c>
      <c r="H15" s="27" t="s">
        <v>88</v>
      </c>
      <c r="I15" s="27" t="s">
        <v>89</v>
      </c>
      <c r="J15" s="27" t="s">
        <v>246</v>
      </c>
      <c r="K15" s="27" t="s">
        <v>90</v>
      </c>
      <c r="L15" s="27" t="s">
        <v>91</v>
      </c>
      <c r="M15" s="27" t="s">
        <v>88</v>
      </c>
      <c r="N15" s="27"/>
      <c r="O15" s="27"/>
      <c r="P15" s="27" t="s">
        <v>154</v>
      </c>
      <c r="Q15" s="42" t="s">
        <v>92</v>
      </c>
      <c r="R15" s="27" t="s">
        <v>93</v>
      </c>
      <c r="S15" s="4">
        <f t="shared" si="1"/>
        <v>339</v>
      </c>
      <c r="T15" s="4">
        <f>LEN(J15)</f>
        <v>496</v>
      </c>
      <c r="U15" s="4">
        <f t="shared" si="3"/>
        <v>414</v>
      </c>
      <c r="V15" s="4">
        <f t="shared" si="4"/>
        <v>18</v>
      </c>
      <c r="W15" s="4">
        <f t="shared" si="5"/>
        <v>52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s="13" customFormat="1" ht="156.6" customHeight="1" x14ac:dyDescent="0.3">
      <c r="A16" s="28"/>
      <c r="B16" s="26">
        <v>14</v>
      </c>
      <c r="C16" s="49" t="s">
        <v>141</v>
      </c>
      <c r="D16" s="18" t="s">
        <v>94</v>
      </c>
      <c r="E16" s="19" t="s">
        <v>95</v>
      </c>
      <c r="F16" s="29" t="s">
        <v>145</v>
      </c>
      <c r="G16" s="19" t="s">
        <v>10</v>
      </c>
      <c r="H16" s="18" t="s">
        <v>165</v>
      </c>
      <c r="I16" s="18" t="s">
        <v>245</v>
      </c>
      <c r="J16" s="18" t="s">
        <v>96</v>
      </c>
      <c r="K16" s="18" t="s">
        <v>97</v>
      </c>
      <c r="L16" s="18" t="s">
        <v>264</v>
      </c>
      <c r="M16" s="18" t="s">
        <v>98</v>
      </c>
      <c r="N16" s="18"/>
      <c r="O16" s="18"/>
      <c r="P16" s="18" t="s">
        <v>155</v>
      </c>
      <c r="Q16" s="18" t="s">
        <v>99</v>
      </c>
      <c r="R16" s="18" t="s">
        <v>100</v>
      </c>
      <c r="S16" s="4">
        <f t="shared" si="1"/>
        <v>354</v>
      </c>
      <c r="T16" s="4">
        <f t="shared" si="2"/>
        <v>392</v>
      </c>
      <c r="U16" s="4">
        <f t="shared" si="3"/>
        <v>451</v>
      </c>
      <c r="V16" s="4">
        <f>LEN(L16)</f>
        <v>161</v>
      </c>
      <c r="W16" s="4">
        <f t="shared" si="5"/>
        <v>129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 s="13" customFormat="1" ht="94.2" customHeight="1" x14ac:dyDescent="0.3">
      <c r="A17" s="28"/>
      <c r="B17" s="26">
        <v>15</v>
      </c>
      <c r="C17" s="49" t="s">
        <v>141</v>
      </c>
      <c r="D17" s="18" t="s">
        <v>94</v>
      </c>
      <c r="E17" s="19" t="s">
        <v>101</v>
      </c>
      <c r="F17" s="29" t="s">
        <v>145</v>
      </c>
      <c r="G17" s="19" t="s">
        <v>10</v>
      </c>
      <c r="H17" s="18" t="s">
        <v>165</v>
      </c>
      <c r="I17" s="18" t="s">
        <v>102</v>
      </c>
      <c r="J17" s="18" t="s">
        <v>103</v>
      </c>
      <c r="K17" s="18" t="s">
        <v>104</v>
      </c>
      <c r="L17" s="18" t="s">
        <v>244</v>
      </c>
      <c r="M17" s="18" t="s">
        <v>105</v>
      </c>
      <c r="N17" s="18" t="s">
        <v>157</v>
      </c>
      <c r="O17" s="18"/>
      <c r="P17" s="18" t="s">
        <v>155</v>
      </c>
      <c r="Q17" s="18" t="s">
        <v>99</v>
      </c>
      <c r="R17" s="18" t="s">
        <v>106</v>
      </c>
      <c r="S17" s="4">
        <f t="shared" si="1"/>
        <v>403</v>
      </c>
      <c r="T17" s="4">
        <f t="shared" si="2"/>
        <v>367</v>
      </c>
      <c r="U17" s="4">
        <f t="shared" si="3"/>
        <v>279</v>
      </c>
      <c r="V17" s="4">
        <f t="shared" si="4"/>
        <v>451</v>
      </c>
      <c r="W17" s="4">
        <f t="shared" si="5"/>
        <v>80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s="13" customFormat="1" ht="120" customHeight="1" x14ac:dyDescent="0.3">
      <c r="A18" s="28"/>
      <c r="B18" s="26">
        <v>16</v>
      </c>
      <c r="C18" s="49" t="s">
        <v>141</v>
      </c>
      <c r="D18" s="18" t="s">
        <v>94</v>
      </c>
      <c r="E18" s="19" t="s">
        <v>101</v>
      </c>
      <c r="F18" s="29" t="s">
        <v>145</v>
      </c>
      <c r="G18" s="19" t="s">
        <v>10</v>
      </c>
      <c r="H18" s="18" t="s">
        <v>165</v>
      </c>
      <c r="I18" s="18" t="s">
        <v>107</v>
      </c>
      <c r="J18" s="18" t="s">
        <v>108</v>
      </c>
      <c r="K18" s="18" t="s">
        <v>109</v>
      </c>
      <c r="L18" s="18" t="s">
        <v>243</v>
      </c>
      <c r="M18" s="18" t="s">
        <v>110</v>
      </c>
      <c r="N18" s="18" t="s">
        <v>79</v>
      </c>
      <c r="O18" s="18"/>
      <c r="P18" s="18" t="s">
        <v>155</v>
      </c>
      <c r="Q18" s="18" t="s">
        <v>99</v>
      </c>
      <c r="R18" s="18" t="s">
        <v>111</v>
      </c>
      <c r="S18" s="4">
        <f t="shared" si="1"/>
        <v>422</v>
      </c>
      <c r="T18" s="4">
        <f t="shared" si="2"/>
        <v>276</v>
      </c>
      <c r="U18" s="4">
        <f t="shared" si="3"/>
        <v>322</v>
      </c>
      <c r="V18" s="4">
        <f t="shared" ref="V18:V23" si="6">LEN(L18)</f>
        <v>459</v>
      </c>
      <c r="W18" s="4">
        <f t="shared" si="5"/>
        <v>108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s="13" customFormat="1" ht="140.4" x14ac:dyDescent="0.3">
      <c r="A19" s="28">
        <v>2</v>
      </c>
      <c r="B19" s="26">
        <v>17</v>
      </c>
      <c r="C19" s="49" t="s">
        <v>141</v>
      </c>
      <c r="D19" s="20" t="s">
        <v>112</v>
      </c>
      <c r="E19" s="20" t="s">
        <v>113</v>
      </c>
      <c r="F19" s="29" t="s">
        <v>145</v>
      </c>
      <c r="G19" s="20" t="s">
        <v>10</v>
      </c>
      <c r="H19" s="20" t="s">
        <v>114</v>
      </c>
      <c r="I19" s="56" t="s">
        <v>259</v>
      </c>
      <c r="J19" s="56" t="s">
        <v>260</v>
      </c>
      <c r="K19" s="56" t="s">
        <v>261</v>
      </c>
      <c r="L19" s="20" t="s">
        <v>242</v>
      </c>
      <c r="M19" s="20" t="s">
        <v>115</v>
      </c>
      <c r="N19" s="20"/>
      <c r="O19" s="20"/>
      <c r="P19" s="18" t="s">
        <v>155</v>
      </c>
      <c r="Q19" s="20" t="s">
        <v>116</v>
      </c>
      <c r="R19" s="20" t="s">
        <v>117</v>
      </c>
      <c r="S19" s="4" t="e">
        <f>LEN(#REF!)</f>
        <v>#REF!</v>
      </c>
      <c r="T19" s="4" t="e">
        <f>LEN(#REF!)</f>
        <v>#REF!</v>
      </c>
      <c r="U19" s="4" t="e">
        <f>LEN(#REF!)</f>
        <v>#REF!</v>
      </c>
      <c r="V19" s="4">
        <f t="shared" si="6"/>
        <v>487</v>
      </c>
      <c r="W19" s="4">
        <f t="shared" si="5"/>
        <v>150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s="13" customFormat="1" ht="221.4" customHeight="1" x14ac:dyDescent="0.3">
      <c r="A20" s="28"/>
      <c r="B20" s="26">
        <v>18</v>
      </c>
      <c r="C20" s="49" t="s">
        <v>141</v>
      </c>
      <c r="D20" s="12" t="s">
        <v>118</v>
      </c>
      <c r="E20" s="41" t="s">
        <v>190</v>
      </c>
      <c r="F20" s="29" t="s">
        <v>145</v>
      </c>
      <c r="G20" s="41" t="s">
        <v>10</v>
      </c>
      <c r="H20" s="41" t="s">
        <v>120</v>
      </c>
      <c r="I20" s="41" t="s">
        <v>121</v>
      </c>
      <c r="J20" s="41" t="s">
        <v>241</v>
      </c>
      <c r="K20" s="41" t="s">
        <v>122</v>
      </c>
      <c r="L20" s="41" t="s">
        <v>240</v>
      </c>
      <c r="M20" s="41" t="s">
        <v>123</v>
      </c>
      <c r="N20" s="41"/>
      <c r="O20" s="41"/>
      <c r="P20" s="41" t="s">
        <v>153</v>
      </c>
      <c r="Q20" s="28" t="s">
        <v>133</v>
      </c>
      <c r="R20" s="28" t="s">
        <v>137</v>
      </c>
      <c r="S20" s="4">
        <f t="shared" si="1"/>
        <v>304</v>
      </c>
      <c r="T20" s="4">
        <f>LEN(J20)</f>
        <v>493</v>
      </c>
      <c r="U20" s="4">
        <f t="shared" si="3"/>
        <v>371</v>
      </c>
      <c r="V20" s="4">
        <f t="shared" si="6"/>
        <v>497</v>
      </c>
      <c r="W20" s="4">
        <f t="shared" si="5"/>
        <v>132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s="13" customFormat="1" ht="141" customHeight="1" x14ac:dyDescent="0.3">
      <c r="A21" s="28"/>
      <c r="B21" s="26">
        <v>19</v>
      </c>
      <c r="C21" s="49" t="s">
        <v>141</v>
      </c>
      <c r="D21" s="12" t="s">
        <v>118</v>
      </c>
      <c r="E21" s="41" t="s">
        <v>119</v>
      </c>
      <c r="F21" s="29" t="s">
        <v>145</v>
      </c>
      <c r="G21" s="41" t="s">
        <v>10</v>
      </c>
      <c r="H21" s="41" t="s">
        <v>124</v>
      </c>
      <c r="I21" s="41" t="s">
        <v>125</v>
      </c>
      <c r="J21" s="41" t="s">
        <v>126</v>
      </c>
      <c r="K21" s="41" t="s">
        <v>127</v>
      </c>
      <c r="L21" s="41" t="s">
        <v>239</v>
      </c>
      <c r="M21" s="41" t="s">
        <v>128</v>
      </c>
      <c r="N21" s="41"/>
      <c r="O21" s="41"/>
      <c r="P21" s="41" t="s">
        <v>156</v>
      </c>
      <c r="Q21" s="28" t="s">
        <v>134</v>
      </c>
      <c r="R21" s="28" t="s">
        <v>138</v>
      </c>
      <c r="S21" s="4">
        <f t="shared" si="1"/>
        <v>275</v>
      </c>
      <c r="T21" s="4">
        <f t="shared" si="2"/>
        <v>417</v>
      </c>
      <c r="U21" s="4">
        <f t="shared" si="3"/>
        <v>324</v>
      </c>
      <c r="V21" s="4">
        <f t="shared" si="6"/>
        <v>352</v>
      </c>
      <c r="W21" s="4">
        <f t="shared" si="5"/>
        <v>112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s="9" customFormat="1" ht="161.4" customHeight="1" x14ac:dyDescent="0.3">
      <c r="A22" s="24">
        <v>2</v>
      </c>
      <c r="B22" s="26">
        <v>20</v>
      </c>
      <c r="C22" s="51" t="s">
        <v>142</v>
      </c>
      <c r="D22" s="8" t="s">
        <v>33</v>
      </c>
      <c r="E22" s="8" t="s">
        <v>34</v>
      </c>
      <c r="F22" s="27" t="s">
        <v>145</v>
      </c>
      <c r="G22" s="45" t="s">
        <v>10</v>
      </c>
      <c r="H22" s="8" t="s">
        <v>35</v>
      </c>
      <c r="I22" s="8" t="s">
        <v>36</v>
      </c>
      <c r="J22" s="8" t="s">
        <v>37</v>
      </c>
      <c r="K22" s="8" t="s">
        <v>38</v>
      </c>
      <c r="L22" s="8" t="s">
        <v>238</v>
      </c>
      <c r="M22" s="8" t="s">
        <v>39</v>
      </c>
      <c r="N22" s="8" t="s">
        <v>79</v>
      </c>
      <c r="O22" s="8" t="s">
        <v>79</v>
      </c>
      <c r="P22" s="8" t="s">
        <v>156</v>
      </c>
      <c r="Q22" s="8" t="s">
        <v>40</v>
      </c>
      <c r="R22" s="8" t="s">
        <v>41</v>
      </c>
      <c r="S22" s="4">
        <f t="shared" si="1"/>
        <v>380</v>
      </c>
      <c r="T22" s="4">
        <f t="shared" si="2"/>
        <v>451</v>
      </c>
      <c r="U22" s="4">
        <f t="shared" si="3"/>
        <v>274</v>
      </c>
      <c r="V22" s="4">
        <f t="shared" si="6"/>
        <v>367</v>
      </c>
      <c r="W22" s="4">
        <f t="shared" si="5"/>
        <v>123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 s="23" customFormat="1" ht="99" customHeight="1" x14ac:dyDescent="0.3">
      <c r="A23" s="28">
        <v>2</v>
      </c>
      <c r="B23" s="26">
        <v>21</v>
      </c>
      <c r="C23" s="46" t="s">
        <v>177</v>
      </c>
      <c r="D23" s="43" t="s">
        <v>189</v>
      </c>
      <c r="E23" s="29" t="s">
        <v>191</v>
      </c>
      <c r="F23" s="29" t="s">
        <v>192</v>
      </c>
      <c r="G23" s="41" t="s">
        <v>10</v>
      </c>
      <c r="H23" s="22" t="s">
        <v>197</v>
      </c>
      <c r="I23" s="22" t="s">
        <v>193</v>
      </c>
      <c r="J23" s="22" t="s">
        <v>236</v>
      </c>
      <c r="K23" s="22" t="s">
        <v>194</v>
      </c>
      <c r="L23" s="22" t="s">
        <v>237</v>
      </c>
      <c r="M23" s="22" t="s">
        <v>195</v>
      </c>
      <c r="N23" s="22"/>
      <c r="O23" s="22"/>
      <c r="P23" s="22"/>
      <c r="Q23" s="22" t="s">
        <v>198</v>
      </c>
      <c r="R23" s="22" t="s">
        <v>196</v>
      </c>
      <c r="S23" s="4">
        <f t="shared" si="1"/>
        <v>345</v>
      </c>
      <c r="T23" s="4">
        <f t="shared" si="2"/>
        <v>482</v>
      </c>
      <c r="U23" s="4">
        <f t="shared" si="3"/>
        <v>398</v>
      </c>
      <c r="V23" s="4">
        <f t="shared" si="6"/>
        <v>491</v>
      </c>
      <c r="W23" s="4">
        <f t="shared" si="5"/>
        <v>165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s="13" customFormat="1" ht="106.2" customHeight="1" x14ac:dyDescent="0.3">
      <c r="A24" s="28"/>
      <c r="B24" s="26">
        <v>22</v>
      </c>
      <c r="C24" s="46" t="s">
        <v>177</v>
      </c>
      <c r="D24" s="12" t="s">
        <v>166</v>
      </c>
      <c r="E24" s="41" t="s">
        <v>167</v>
      </c>
      <c r="F24" s="29" t="s">
        <v>145</v>
      </c>
      <c r="G24" s="41" t="s">
        <v>10</v>
      </c>
      <c r="H24" s="41" t="s">
        <v>168</v>
      </c>
      <c r="I24" s="41" t="s">
        <v>169</v>
      </c>
      <c r="J24" s="41" t="s">
        <v>170</v>
      </c>
      <c r="K24" s="41" t="s">
        <v>171</v>
      </c>
      <c r="L24" s="41" t="s">
        <v>172</v>
      </c>
      <c r="M24" s="41" t="s">
        <v>173</v>
      </c>
      <c r="N24" s="41"/>
      <c r="O24" s="41"/>
      <c r="P24" s="52"/>
      <c r="Q24" s="28" t="s">
        <v>199</v>
      </c>
      <c r="R24" s="28" t="s">
        <v>174</v>
      </c>
      <c r="S24" s="4">
        <f t="shared" si="1"/>
        <v>368</v>
      </c>
      <c r="T24" s="4">
        <f t="shared" si="2"/>
        <v>342</v>
      </c>
      <c r="U24" s="4">
        <f t="shared" si="3"/>
        <v>86</v>
      </c>
      <c r="V24" s="4">
        <f t="shared" si="4"/>
        <v>488</v>
      </c>
      <c r="W24" s="4">
        <f t="shared" si="5"/>
        <v>88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s="13" customFormat="1" ht="118.8" customHeight="1" x14ac:dyDescent="0.3">
      <c r="A25" s="28">
        <v>1</v>
      </c>
      <c r="B25" s="26">
        <v>23</v>
      </c>
      <c r="C25" s="46" t="s">
        <v>177</v>
      </c>
      <c r="D25" s="12" t="s">
        <v>166</v>
      </c>
      <c r="E25" s="41" t="s">
        <v>178</v>
      </c>
      <c r="F25" s="29" t="s">
        <v>145</v>
      </c>
      <c r="G25" s="41" t="s">
        <v>266</v>
      </c>
      <c r="H25" s="41" t="s">
        <v>205</v>
      </c>
      <c r="I25" s="41" t="s">
        <v>207</v>
      </c>
      <c r="J25" s="41" t="s">
        <v>203</v>
      </c>
      <c r="K25" s="41" t="s">
        <v>204</v>
      </c>
      <c r="L25" s="41" t="s">
        <v>201</v>
      </c>
      <c r="M25" s="41" t="s">
        <v>176</v>
      </c>
      <c r="N25" s="41"/>
      <c r="O25" s="41"/>
      <c r="P25" s="41"/>
      <c r="Q25" s="28"/>
      <c r="R25" s="28" t="s">
        <v>206</v>
      </c>
      <c r="S25" s="4">
        <f t="shared" si="1"/>
        <v>282</v>
      </c>
      <c r="T25" s="4">
        <f t="shared" si="2"/>
        <v>110</v>
      </c>
      <c r="U25" s="4">
        <f t="shared" si="3"/>
        <v>178</v>
      </c>
      <c r="V25" s="4">
        <f t="shared" si="4"/>
        <v>301</v>
      </c>
      <c r="W25" s="4">
        <f t="shared" si="5"/>
        <v>135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s="13" customFormat="1" ht="131.4" customHeight="1" x14ac:dyDescent="0.3">
      <c r="A26" s="28"/>
      <c r="B26" s="26">
        <v>24</v>
      </c>
      <c r="C26" s="46" t="s">
        <v>177</v>
      </c>
      <c r="D26" s="41" t="s">
        <v>202</v>
      </c>
      <c r="E26" s="41" t="s">
        <v>208</v>
      </c>
      <c r="F26" s="29" t="s">
        <v>145</v>
      </c>
      <c r="G26" s="41" t="s">
        <v>10</v>
      </c>
      <c r="H26" s="41" t="s">
        <v>202</v>
      </c>
      <c r="I26" s="41" t="s">
        <v>209</v>
      </c>
      <c r="J26" s="41" t="s">
        <v>212</v>
      </c>
      <c r="K26" s="41" t="s">
        <v>210</v>
      </c>
      <c r="L26" s="41" t="s">
        <v>235</v>
      </c>
      <c r="M26" s="41" t="s">
        <v>211</v>
      </c>
      <c r="N26" s="41"/>
      <c r="O26" s="41"/>
      <c r="P26" s="41"/>
      <c r="Q26" s="41" t="s">
        <v>213</v>
      </c>
      <c r="R26" s="28" t="s">
        <v>214</v>
      </c>
      <c r="S26" s="4">
        <f t="shared" si="1"/>
        <v>279</v>
      </c>
      <c r="T26" s="4">
        <f t="shared" si="2"/>
        <v>230</v>
      </c>
      <c r="U26" s="4">
        <f t="shared" si="3"/>
        <v>476</v>
      </c>
      <c r="V26" s="4">
        <f t="shared" si="4"/>
        <v>389</v>
      </c>
      <c r="W26" s="4">
        <f t="shared" si="5"/>
        <v>170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0" s="13" customFormat="1" ht="218.4" x14ac:dyDescent="0.3">
      <c r="A27" s="28"/>
      <c r="B27" s="26">
        <v>25</v>
      </c>
      <c r="C27" s="46" t="s">
        <v>177</v>
      </c>
      <c r="D27" s="41" t="s">
        <v>202</v>
      </c>
      <c r="E27" s="41" t="s">
        <v>208</v>
      </c>
      <c r="F27" s="29" t="s">
        <v>145</v>
      </c>
      <c r="G27" s="41" t="s">
        <v>10</v>
      </c>
      <c r="H27" s="41" t="s">
        <v>202</v>
      </c>
      <c r="I27" s="18" t="s">
        <v>215</v>
      </c>
      <c r="J27" s="18" t="s">
        <v>218</v>
      </c>
      <c r="K27" s="18" t="s">
        <v>216</v>
      </c>
      <c r="L27" s="18" t="s">
        <v>234</v>
      </c>
      <c r="M27" s="18" t="s">
        <v>217</v>
      </c>
      <c r="N27" s="53"/>
      <c r="O27" s="18"/>
      <c r="P27" s="18"/>
      <c r="Q27" s="18" t="s">
        <v>220</v>
      </c>
      <c r="R27" s="20" t="s">
        <v>219</v>
      </c>
      <c r="S27" s="4">
        <f t="shared" si="1"/>
        <v>118</v>
      </c>
      <c r="T27" s="4">
        <f t="shared" si="2"/>
        <v>299</v>
      </c>
      <c r="U27" s="4">
        <f t="shared" si="3"/>
        <v>137</v>
      </c>
      <c r="V27" s="4">
        <f t="shared" si="4"/>
        <v>330</v>
      </c>
      <c r="W27" s="4">
        <f t="shared" si="5"/>
        <v>281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s="13" customFormat="1" ht="115.8" customHeight="1" x14ac:dyDescent="0.3">
      <c r="A28" s="28"/>
      <c r="B28" s="26">
        <v>26</v>
      </c>
      <c r="C28" s="46" t="s">
        <v>177</v>
      </c>
      <c r="D28" s="41" t="s">
        <v>175</v>
      </c>
      <c r="E28" s="41" t="s">
        <v>224</v>
      </c>
      <c r="F28" s="29" t="s">
        <v>145</v>
      </c>
      <c r="G28" s="41" t="s">
        <v>10</v>
      </c>
      <c r="H28" s="41" t="s">
        <v>175</v>
      </c>
      <c r="I28" s="41" t="s">
        <v>223</v>
      </c>
      <c r="J28" s="41" t="s">
        <v>231</v>
      </c>
      <c r="K28" s="41" t="s">
        <v>222</v>
      </c>
      <c r="L28" s="41" t="s">
        <v>232</v>
      </c>
      <c r="M28" s="41" t="s">
        <v>221</v>
      </c>
      <c r="N28" s="41"/>
      <c r="O28" s="41"/>
      <c r="P28" s="41"/>
      <c r="Q28" s="28" t="s">
        <v>79</v>
      </c>
      <c r="R28" s="28" t="s">
        <v>225</v>
      </c>
      <c r="S28" s="4">
        <f t="shared" si="1"/>
        <v>284</v>
      </c>
      <c r="T28" s="4">
        <f>LEN(J28)</f>
        <v>393</v>
      </c>
      <c r="U28" s="4">
        <f t="shared" si="3"/>
        <v>348</v>
      </c>
      <c r="V28" s="4">
        <f>LEN(L28)</f>
        <v>497</v>
      </c>
      <c r="W28" s="4">
        <f t="shared" si="5"/>
        <v>118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 s="13" customFormat="1" ht="175.8" customHeight="1" x14ac:dyDescent="0.3">
      <c r="A29" s="28"/>
      <c r="B29" s="26">
        <v>27</v>
      </c>
      <c r="C29" s="46" t="s">
        <v>177</v>
      </c>
      <c r="D29" s="41" t="s">
        <v>175</v>
      </c>
      <c r="E29" s="41" t="s">
        <v>224</v>
      </c>
      <c r="F29" s="29" t="s">
        <v>145</v>
      </c>
      <c r="G29" s="41" t="s">
        <v>10</v>
      </c>
      <c r="H29" s="41" t="s">
        <v>175</v>
      </c>
      <c r="I29" s="41" t="s">
        <v>226</v>
      </c>
      <c r="J29" s="41" t="s">
        <v>227</v>
      </c>
      <c r="K29" s="41" t="s">
        <v>228</v>
      </c>
      <c r="L29" s="41" t="s">
        <v>233</v>
      </c>
      <c r="M29" s="41" t="s">
        <v>229</v>
      </c>
      <c r="N29" s="41"/>
      <c r="O29" s="41"/>
      <c r="P29" s="41"/>
      <c r="Q29" s="28"/>
      <c r="R29" s="28" t="s">
        <v>230</v>
      </c>
      <c r="S29" s="4">
        <f t="shared" si="1"/>
        <v>204</v>
      </c>
      <c r="T29" s="4">
        <f t="shared" si="2"/>
        <v>497</v>
      </c>
      <c r="U29" s="4">
        <f t="shared" si="3"/>
        <v>299</v>
      </c>
      <c r="V29" s="4">
        <f>LEN(L29)</f>
        <v>386</v>
      </c>
      <c r="W29" s="4">
        <f t="shared" si="5"/>
        <v>85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s="66" customFormat="1" ht="15.75" customHeight="1" x14ac:dyDescent="0.3">
      <c r="A30" s="60"/>
      <c r="B30" s="61"/>
      <c r="C30" s="62"/>
      <c r="D30" s="61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0"/>
      <c r="R30" s="60"/>
      <c r="S30" s="64"/>
      <c r="T30" s="65"/>
      <c r="U30" s="65"/>
      <c r="V30" s="65"/>
      <c r="W30" s="65"/>
    </row>
  </sheetData>
  <mergeCells count="18">
    <mergeCell ref="Q1:Q2"/>
    <mergeCell ref="R1:R2"/>
    <mergeCell ref="I1:I2"/>
    <mergeCell ref="J1:J2"/>
    <mergeCell ref="K1:K2"/>
    <mergeCell ref="L1:L2"/>
    <mergeCell ref="M1:M2"/>
    <mergeCell ref="N1:N2"/>
    <mergeCell ref="A1:A2"/>
    <mergeCell ref="F1:F2"/>
    <mergeCell ref="P1:P2"/>
    <mergeCell ref="B1:B2"/>
    <mergeCell ref="C1:C2"/>
    <mergeCell ref="O1:O2"/>
    <mergeCell ref="D1:D2"/>
    <mergeCell ref="E1:E2"/>
    <mergeCell ref="G1:G2"/>
    <mergeCell ref="H1:H2"/>
  </mergeCells>
  <conditionalFormatting sqref="S1:W1048576">
    <cfRule type="cellIs" dxfId="0" priority="1" operator="greaterThan">
      <formula>500</formula>
    </cfRule>
  </conditionalFormatting>
  <hyperlinks>
    <hyperlink ref="Q15" r:id="rId1"/>
    <hyperlink ref="Q7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2026-08-21T08:17:44Z</dcterms:created>
  <dcterms:modified xsi:type="dcterms:W3CDTF">2026-08-31T08:55:10Z</dcterms:modified>
</cp:coreProperties>
</file>